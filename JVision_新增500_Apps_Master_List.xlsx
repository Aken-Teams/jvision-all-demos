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811ae2dbc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e0c29763014051"/>
    <x:sheet xmlns:r="http://schemas.openxmlformats.org/officeDocument/2006/relationships" name="Master List" sheetId="2" r:id="Rc577636fe80b49a9"/>
    <x:sheet xmlns:r="http://schemas.openxmlformats.org/officeDocument/2006/relationships" name="規劃準則" sheetId="3" r:id="Rc4256d9ce29e4a51"/>
    <x:sheet xmlns:r="http://schemas.openxmlformats.org/officeDocument/2006/relationships" name="參數" sheetId="4" r:id="R9520b6f588984412"/>
  </x:sheets>
</x:workbook>
</file>

<file path=xl/comments1.xml><?xml version="1.0" encoding="utf-8"?>
<x:comments xmlns:x="http://schemas.openxmlformats.org/spreadsheetml/2006/main">
  <x:authors>
    <x:author>tc={C278D9A5-31FD-D462-724E-BDB390424DBC}</x:author>
  </x:authors>
  <x:commentList>
    <x:comment ref="A3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來源限制與 515→500 配額校正已在此記錄。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tc={F8A5F63B-57D7-94B0-5F02-BF4993651837}</x:author>
  </x:authors>
  <x:commentList>
    <x:comment ref="O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此欄為第一階段功能邊界風險評估；取得原 463 清單後應再做逐項比對。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24F"/>
      <x:name val="Carlito"/>
    </x:font>
    <x:font>
      <x:sz val="9"/>
      <x:color rgb="FF7A5300"/>
      <x:name val="Carlito"/>
    </x:font>
    <x:font>
      <x:b/>
      <x:sz val="10"/>
      <x:color rgb="FFFFFFFF"/>
      <x:name val="Carlito"/>
    </x:font>
    <x:font>
      <x:sz val="9"/>
      <x:color rgb="FF243746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sz val="10"/>
      <x:name val="Carlito"/>
    </x:font>
    <x:font>
      <x:b/>
      <x:sz val="20"/>
      <x:color rgb="FFFFFFFF"/>
      <x:name val="Carlito"/>
    </x:font>
    <x:font>
      <x:i/>
      <x:sz val="11"/>
      <x:color rgb="FF16324F"/>
      <x:name val="Carlito"/>
    </x:font>
    <x:font>
      <x:b/>
      <x:sz val="22"/>
      <x:color rgb="FF1F6E8C"/>
      <x:name val="Carlito"/>
    </x:font>
    <x:font>
      <x:b/>
      <x:sz val="12"/>
      <x:color rgb="FFFFFFFF"/>
      <x:name val="Carlito"/>
    </x:font>
    <x:font>
      <x:sz val="10"/>
      <x:color rgb="FF5C4B13"/>
      <x:name val="Carlito"/>
    </x:font>
    <x:font>
      <x:sz val="10"/>
      <x:color rgb="FF26374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7"/>
      </x:patternFill>
    </x:fill>
    <x:fill>
      <x:patternFill patternType="solid">
        <x:fgColor rgb="FFFFF4D6"/>
      </x:patternFill>
    </x:fill>
    <x:fill>
      <x:patternFill patternType="solid">
        <x:fgColor rgb="FF1F6E8C"/>
      </x:patternFill>
    </x:fill>
    <x:fill>
      <x:patternFill patternType="solid">
        <x:fgColor rgb="FFFFFFFF"/>
      </x:patternFill>
    </x:fill>
    <x:fill>
      <x:patternFill patternType="solid">
        <x:fgColor rgb="FF2E8B8B"/>
      </x:patternFill>
    </x:fill>
    <x:fill>
      <x:patternFill patternType="solid">
        <x:fgColor rgb="FFFFF9E8"/>
      </x:patternFill>
    </x:fill>
    <x:fill>
      <x:patternFill patternType="solid">
        <x:fgColor rgb="FFF7F9FB"/>
      </x:patternFill>
    </x:fill>
  </x:fills>
  <x:borders count="10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8EDF2"/>
      </x:bottom>
    </x:border>
    <x:border>
      <x:top style="thin">
        <x:color rgb="FFE8EDF2"/>
      </x:top>
      <x:bottom style="thin">
        <x:color rgb="FFE8EDF2"/>
      </x:bottom>
    </x:border>
    <x:border>
      <x:bottom style="double">
        <x:color rgb="FF16324F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top style="thin">
        <x:color rgb="FFE8EDF2"/>
      </x:top>
    </x:border>
    <x:border>
      <x:left style="thin">
        <x:color rgb="FFF4B942"/>
      </x:left>
      <x:right style="thin">
        <x:color rgb="FFF4B942"/>
      </x:right>
      <x:top style="thin">
        <x:color rgb="FFF4B942"/>
      </x:top>
      <x:bottom style="thin">
        <x:color rgb="FFF4B942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/>
    </x:xf>
    <x:xf numFmtId="200" fontId="5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horizontal="center" vertical="top"/>
    </x:xf>
    <x:xf numFmtId="0" fontId="5" fillId="0" borderId="4" xfId="0" applyNumberFormat="1" applyFont="1" applyFill="1" applyBorder="1" applyAlignment="1">
      <x:alignment horizontal="center" vertical="top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horizontal="center" vertical="top"/>
    </x:xf>
    <x:xf numFmtId="0" fontId="5" fillId="0" borderId="5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6" xfId="0" applyNumberFormat="1" applyFont="1" applyFill="1" applyBorder="1"/>
    <x:xf numFmtId="201" fontId="0" fillId="0" borderId="0" xfId="0" applyNumberFormat="1" applyFont="1" applyFill="1" applyBorder="1"/>
    <x:xf numFmtId="201" fontId="8" fillId="3" borderId="6" xfId="0" applyNumberFormat="1" applyFont="1" applyFill="1" applyBorder="1"/>
    <x:xf numFmtId="200" fontId="0" fillId="0" borderId="0" xfId="0" applyNumberFormat="1" applyFont="1" applyFill="1" applyBorder="1"/>
    <x:xf numFmtId="200" fontId="8" fillId="3" borderId="6" xfId="0" applyNumberFormat="1" applyFont="1" applyFill="1" applyBorder="1"/>
    <x:xf numFmtId="0" fontId="4" fillId="2" borderId="0" xfId="0" applyNumberFormat="1" applyFont="1" applyFill="1" applyBorder="1"/>
    <x:xf numFmtId="0" fontId="9" fillId="0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7" xfId="0" applyNumberFormat="1" applyFont="1" applyFill="1" applyBorder="1"/>
    <x:xf numFmtId="0" fontId="12" fillId="6" borderId="7" xfId="0" applyNumberFormat="1" applyFont="1" applyFill="1" applyBorder="1" applyAlignment="1">
      <x:alignment horizontal="center"/>
    </x:xf>
    <x:xf numFmtId="0" fontId="12" fillId="6" borderId="7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8" fillId="3" borderId="8" xfId="0" applyNumberFormat="1" applyFont="1" applyFill="1" applyBorder="1"/>
    <x:xf numFmtId="200" fontId="8" fillId="3" borderId="8" xfId="0" applyNumberFormat="1" applyFont="1" applyFill="1" applyBorder="1"/>
    <x:xf numFmtId="201" fontId="8" fillId="3" borderId="8" xfId="0" applyNumberFormat="1" applyFont="1" applyFill="1" applyBorder="1"/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9" xfId="0" applyNumberFormat="1" applyFont="1" applyFill="1" applyBorder="1"/>
    <x:xf numFmtId="0" fontId="14" fillId="8" borderId="9" xfId="0" applyNumberFormat="1" applyFont="1" applyFill="1" applyBorder="1" applyAlignment="1">
      <x:alignment wrapText="1"/>
    </x:xf>
    <x:xf numFmtId="0" fontId="14" fillId="8" borderId="9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7" xfId="0" applyNumberFormat="1" applyFont="1" applyFill="1" applyBorder="1"/>
    <x:xf numFmtId="0" fontId="15" fillId="9" borderId="7" xfId="0" applyNumberFormat="1" applyFont="1" applyFill="1" applyBorder="1" applyAlignment="1">
      <x:alignment wrapText="1"/>
    </x:xf>
    <x:xf numFmtId="0" fontId="15" fillId="9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b86b7298d46f3" /><Relationship Type="http://schemas.openxmlformats.org/officeDocument/2006/relationships/theme" Target="/xl/theme/theme1.xml" Id="Rcbd8959565a94dcf" /><Relationship Type="http://schemas.openxmlformats.org/officeDocument/2006/relationships/sharedStrings" Target="/xl/sharedStrings.xml" Id="R89decf61be764847" /><Relationship Type="http://schemas.openxmlformats.org/officeDocument/2006/relationships/worksheet" Target="/xl/worksheets/sheet1.xml" Id="Rb9e0c29763014051" /><Relationship Type="http://schemas.openxmlformats.org/officeDocument/2006/relationships/worksheet" Target="/xl/worksheets/sheet2.xml" Id="Rc577636fe80b49a9" /><Relationship Type="http://schemas.openxmlformats.org/officeDocument/2006/relationships/worksheet" Target="/xl/worksheets/sheet3.xml" Id="Rc4256d9ce29e4a51" /><Relationship Type="http://schemas.openxmlformats.org/officeDocument/2006/relationships/worksheet" Target="/xl/worksheets/sheet4.xml" Id="R9520b6f588984412" /><Relationship Type="http://schemas.microsoft.com/office/2017/10/relationships/person" Target="/xl/persons/person.xml" Id="R584e6095e5cb46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23fdebad964e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各產品群新增 App 數量（500）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配額</c:v>
          </c:tx>
          <c:cat>
            <c:strRef>
              <c:f>'Summary'!$A$9:$A$26</c:f>
              <c:strCache>
                <c:ptCount val="0"/>
              </c:strCache>
            </c:strRef>
          </c:cat>
          <c:val>
            <c:numRef>
              <c:f>'Summary'!$B$9:$B$26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實際</c:v>
          </c:tx>
          <c:cat>
            <c:strRef>
              <c:f>'Summary'!$A$9:$A$26</c:f>
              <c:strCache>
                <c:ptCount val="0"/>
              </c:strCache>
            </c:strRef>
          </c:cat>
          <c:val>
            <c:numRef>
              <c:f>'Summary'!$C$9:$C$26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23fdebad964e4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50C3A166-54CB-4DC7-BCB5-74F6E928C82C}"/>
</xltc:personList>
</file>

<file path=xl/tables/table1.xml><?xml version="1.0" encoding="utf-8"?>
<x:table xmlns:x="http://schemas.openxmlformats.org/spreadsheetml/2006/main" id="1" name="JVisionAppsMaster" displayName="JVisionAppsMaster" ref="A4:U504" headerRowCount="1" totalsRowCount="0" totalsRowShown="0">
  <x:autoFilter ref="A4:U504"/>
  <x:tableColumns count="21">
    <x:tableColumn id="1" name="編號"/>
    <x:tableColumn id="2" name="App 名稱"/>
    <x:tableColumn id="3" name="產品群／分類"/>
    <x:tableColumn id="4" name="子領域"/>
    <x:tableColumn id="5" name="使用部門"/>
    <x:tableColumn id="6" name="主要使用者"/>
    <x:tableColumn id="7" name="解決痛點"/>
    <x:tableColumn id="8" name="核心功能"/>
    <x:tableColumn id="9" name="AI 能力"/>
    <x:tableColumn id="10" name="Agent 能力"/>
    <x:tableColumn id="11" name="Agent 自主等級"/>
    <x:tableColumn id="12" name="所需企業資料"/>
    <x:tableColumn id="13" name="可串接系統"/>
    <x:tableColumn id="14" name="Demo 情境"/>
    <x:tableColumn id="15" name="與原463重複風險"/>
    <x:tableColumn id="16" name="差異化界線"/>
    <x:tableColumn id="17" name="商業價值 (1-5)"/>
    <x:tableColumn id="18" name="開發難度 (1-5)"/>
    <x:tableColumn id="19" name="建議優先級"/>
    <x:tableColumn id="20" name="MVP 估計週數"/>
    <x:tableColumn id="21" name="批次開發波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0" dT="2026-08-21T12:39:43.822" personId="{50C3A166-54CB-4DC7-BCB5-74F6E928C82C}" id="{C278D9A5-31FD-D462-724E-BDB390424DBC}">
    <xltc:text>來源限制與 515→500 配額校正已在此記錄。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O4" dT="2026-08-21T12:39:43.823" personId="{50C3A166-54CB-4DC7-BCB5-74F6E928C82C}" id="{F8A5F63B-57D7-94B0-5F02-BF4993651837}">
    <xltc:text>此欄為第一階段功能邊界風險評估；取得原 463 清單後應再做逐項比對。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7098b02810d4b4b" /><Relationship Type="http://schemas.openxmlformats.org/officeDocument/2006/relationships/vmlDrawing" Target="/xl/drawings/vmldrawing.vml" Id="R723ac0ea3058402a" /><Relationship Type="http://schemas.microsoft.com/office/2017/10/relationships/threadedComment" Target="/xl/threadedcomments/threadedcomment.xml" Id="Re3a206591c4442df" /><Relationship Type="http://schemas.openxmlformats.org/officeDocument/2006/relationships/drawing" Target="/xl/drawings/drawing1.xml" Id="Rab937d52f77c47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522a07529624f22" /><Relationship Type="http://schemas.openxmlformats.org/officeDocument/2006/relationships/vmlDrawing" Target="/xl/drawings/vmldrawing2.vml" Id="R0e33ff8434804ad2" /><Relationship Type="http://schemas.microsoft.com/office/2017/10/relationships/threadedComment" Target="/xl/threadedcomments/threadedcomment2.xml" Id="R4cea2a50944d4d17" /><Relationship Type="http://schemas.openxmlformats.org/officeDocument/2006/relationships/table" Target="/xl/tables/table1.xml" Id="R9d1e880f45e14e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8" customHeight="1">
      <x:c r="A1" s="52" t="str">
        <x:v>JVision 新增 500 Apps｜產品規劃總覽</x:v>
      </x:c>
    </x:row>
    <x:row r="2">
      <x:c r="A2" s="53" t="str">
        <x:v>963 Apps 願景：原 463 展示系統 + 500 個功能本質不同的 AI-native 企業 App</x:v>
      </x:c>
    </x:row>
    <x:row r="3">
      <x:c r="A3" s="59" t="str">
        <x:v>新增 App 總數</x:v>
      </x:c>
      <x:c r="B3" s="59"/>
      <x:c r="C3" s="59"/>
      <x:c r="D3" s="59" t="str">
        <x:v>P0 旗艦／底座</x:v>
      </x:c>
      <x:c r="E3" s="59"/>
      <x:c r="F3" s="59"/>
      <x:c r="G3" s="59" t="str">
        <x:v>高商業價值（5 分）</x:v>
      </x:c>
      <x:c r="H3" s="59"/>
      <x:c r="I3" s="59"/>
      <x:c r="J3" s="59" t="str">
        <x:v>低／中低重複風險</x:v>
      </x:c>
      <x:c r="K3" s="59"/>
      <x:c r="L3" s="59"/>
    </x:row>
    <x:row r="4">
      <x:c r="A4" s="58" t="n">
        <x:f>COUNTA('Master List'!$A$5:$A$504)</x:f>
        <x:v>500</x:v>
      </x:c>
      <x:c r="D4" s="58" t="n">
        <x:f>COUNTIF('Master List'!$S$5:$S$504,"P0")</x:f>
        <x:v>130</x:v>
      </x:c>
      <x:c r="G4" s="58" t="n">
        <x:f>COUNTIF('Master List'!$Q$5:$Q$504,5)</x:f>
        <x:v>272</x:v>
      </x:c>
      <x:c r="J4" s="58" t="n">
        <x:f>COUNTIF('Master List'!$O$5:$O$504,"低")+COUNTIF('Master List'!$O$5:$O$504,"中低")</x:f>
        <x:v>444</x:v>
      </x:c>
    </x:row>
    <x:row r="7">
      <x:c r="A7" s="60" t="str">
        <x:v>分類統計（公式連動 Master List）</x:v>
      </x:c>
    </x:row>
    <x:row r="8">
      <x:c r="A8" s="63" t="str">
        <x:v>產品群／分類</x:v>
      </x:c>
      <x:c r="B8" s="63" t="str">
        <x:v>配額</x:v>
      </x:c>
      <x:c r="C8" s="63" t="str">
        <x:v>實際</x:v>
      </x:c>
      <x:c r="D8" s="63" t="str">
        <x:v>P0</x:v>
      </x:c>
      <x:c r="E8" s="63" t="str">
        <x:v>P1</x:v>
      </x:c>
      <x:c r="F8" s="63" t="str">
        <x:v>P2</x:v>
      </x:c>
      <x:c r="G8" s="63" t="str">
        <x:v>平均價值</x:v>
      </x:c>
      <x:c r="H8" s="63" t="str">
        <x:v>平均難度</x:v>
      </x:c>
    </x:row>
    <x:row r="9">
      <x:c r="A9" s="64" t="str">
        <x:f>'參數'!A4</x:f>
        <x:v>AI Agent／Agentic AI</x:v>
      </x:c>
      <x:c r="B9" s="65" t="n">
        <x:f>'參數'!B4</x:f>
        <x:v>45</x:v>
      </x:c>
      <x:c r="C9" s="65" t="n">
        <x:f>'參數'!C4</x:f>
        <x:v>45</x:v>
      </x:c>
      <x:c r="D9" s="65" t="n">
        <x:f>'參數'!D4</x:f>
        <x:v>38</x:v>
      </x:c>
      <x:c r="E9" s="65" t="n">
        <x:f>'參數'!E4</x:f>
        <x:v>7</x:v>
      </x:c>
      <x:c r="F9" s="65" t="n">
        <x:f>'參數'!F4</x:f>
        <x:v>0</x:v>
      </x:c>
      <x:c r="G9" s="66" t="n">
        <x:f>'參數'!G4</x:f>
        <x:v>4.844444444444444</x:v>
      </x:c>
      <x:c r="H9" s="66" t="n">
        <x:f>'參數'!H4</x:f>
        <x:v>4</x:v>
      </x:c>
    </x:row>
    <x:row r="10">
      <x:c r="A10" s="67" t="str">
        <x:f>'參數'!A5</x:f>
        <x:v>企業 AI／LLM</x:v>
      </x:c>
      <x:c r="B10" s="68" t="n">
        <x:f>'參數'!B5</x:f>
        <x:v>35</x:v>
      </x:c>
      <x:c r="C10" s="68" t="n">
        <x:f>'參數'!C5</x:f>
        <x:v>35</x:v>
      </x:c>
      <x:c r="D10" s="68" t="n">
        <x:f>'參數'!D5</x:f>
        <x:v>30</x:v>
      </x:c>
      <x:c r="E10" s="68" t="n">
        <x:f>'參數'!E5</x:f>
        <x:v>5</x:v>
      </x:c>
      <x:c r="F10" s="68" t="n">
        <x:f>'參數'!F5</x:f>
        <x:v>0</x:v>
      </x:c>
      <x:c r="G10" s="69" t="n">
        <x:f>'參數'!G5</x:f>
        <x:v>4.857142857142857</x:v>
      </x:c>
      <x:c r="H10" s="69" t="n">
        <x:f>'參數'!H5</x:f>
        <x:v>4</x:v>
      </x:c>
    </x:row>
    <x:row r="11">
      <x:c r="A11" s="67" t="str">
        <x:f>'參數'!A6</x:f>
        <x:v>AI Security／Governance</x:v>
      </x:c>
      <x:c r="B11" s="68" t="n">
        <x:f>'參數'!B6</x:f>
        <x:v>35</x:v>
      </x:c>
      <x:c r="C11" s="68" t="n">
        <x:f>'參數'!C6</x:f>
        <x:v>35</x:v>
      </x:c>
      <x:c r="D11" s="68" t="n">
        <x:f>'參數'!D6</x:f>
        <x:v>30</x:v>
      </x:c>
      <x:c r="E11" s="68" t="n">
        <x:f>'參數'!E6</x:f>
        <x:v>5</x:v>
      </x:c>
      <x:c r="F11" s="68" t="n">
        <x:f>'參數'!F6</x:f>
        <x:v>0</x:v>
      </x:c>
      <x:c r="G11" s="69" t="n">
        <x:f>'參數'!G6</x:f>
        <x:v>4.857142857142857</x:v>
      </x:c>
      <x:c r="H11" s="69" t="n">
        <x:f>'參數'!H6</x:f>
        <x:v>4</x:v>
      </x:c>
    </x:row>
    <x:row r="12">
      <x:c r="A12" s="67" t="str">
        <x:f>'參數'!A7</x:f>
        <x:v>法務／專利／合規</x:v>
      </x:c>
      <x:c r="B12" s="68" t="n">
        <x:f>'參數'!B7</x:f>
        <x:v>35</x:v>
      </x:c>
      <x:c r="C12" s="68" t="n">
        <x:f>'參數'!C7</x:f>
        <x:v>35</x:v>
      </x:c>
      <x:c r="D12" s="68" t="n">
        <x:f>'參數'!D7</x:f>
        <x:v>0</x:v>
      </x:c>
      <x:c r="E12" s="68" t="n">
        <x:f>'參數'!E7</x:f>
        <x:v>35</x:v>
      </x:c>
      <x:c r="F12" s="68" t="n">
        <x:f>'參數'!F7</x:f>
        <x:v>0</x:v>
      </x:c>
      <x:c r="G12" s="69" t="n">
        <x:f>'參數'!G7</x:f>
        <x:v>4.857142857142857</x:v>
      </x:c>
      <x:c r="H12" s="69" t="n">
        <x:f>'參數'!H7</x:f>
        <x:v>4</x:v>
      </x:c>
    </x:row>
    <x:row r="13">
      <x:c r="A13" s="67" t="str">
        <x:f>'參數'!A8</x:f>
        <x:v>行政／總務</x:v>
      </x:c>
      <x:c r="B13" s="68" t="n">
        <x:f>'參數'!B8</x:f>
        <x:v>30</x:v>
      </x:c>
      <x:c r="C13" s="68" t="n">
        <x:f>'參數'!C8</x:f>
        <x:v>30</x:v>
      </x:c>
      <x:c r="D13" s="68" t="n">
        <x:f>'參數'!D8</x:f>
        <x:v>0</x:v>
      </x:c>
      <x:c r="E13" s="68" t="n">
        <x:f>'參數'!E8</x:f>
        <x:v>0</x:v>
      </x:c>
      <x:c r="F13" s="68" t="n">
        <x:f>'參數'!F8</x:f>
        <x:v>30</x:v>
      </x:c>
      <x:c r="G13" s="69" t="n">
        <x:f>'參數'!G8</x:f>
        <x:v>2.8666666666666667</x:v>
      </x:c>
      <x:c r="H13" s="69" t="n">
        <x:f>'參數'!H8</x:f>
        <x:v>2.2</x:v>
      </x:c>
    </x:row>
    <x:row r="14">
      <x:c r="A14" s="67" t="str">
        <x:f>'參數'!A9</x:f>
        <x:v>行銷／MarTech</x:v>
      </x:c>
      <x:c r="B14" s="68" t="n">
        <x:f>'參數'!B9</x:f>
        <x:v>35</x:v>
      </x:c>
      <x:c r="C14" s="68" t="n">
        <x:f>'參數'!C9</x:f>
        <x:v>35</x:v>
      </x:c>
      <x:c r="D14" s="68" t="n">
        <x:f>'參數'!D9</x:f>
        <x:v>0</x:v>
      </x:c>
      <x:c r="E14" s="68" t="n">
        <x:f>'參數'!E9</x:f>
        <x:v>30</x:v>
      </x:c>
      <x:c r="F14" s="68" t="n">
        <x:f>'參數'!F9</x:f>
        <x:v>5</x:v>
      </x:c>
      <x:c r="G14" s="69" t="n">
        <x:f>'參數'!G9</x:f>
        <x:v>3.857142857142857</x:v>
      </x:c>
      <x:c r="H14" s="69" t="n">
        <x:f>'參數'!H9</x:f>
        <x:v>3</x:v>
      </x:c>
    </x:row>
    <x:row r="15">
      <x:c r="A15" s="67" t="str">
        <x:f>'參數'!A10</x:f>
        <x:v>客戶成功／CX</x:v>
      </x:c>
      <x:c r="B15" s="68" t="n">
        <x:f>'參數'!B10</x:f>
        <x:v>25</x:v>
      </x:c>
      <x:c r="C15" s="68" t="n">
        <x:f>'參數'!C10</x:f>
        <x:v>25</x:v>
      </x:c>
      <x:c r="D15" s="68" t="n">
        <x:f>'參數'!D10</x:f>
        <x:v>0</x:v>
      </x:c>
      <x:c r="E15" s="68" t="n">
        <x:f>'參數'!E10</x:f>
        <x:v>22</x:v>
      </x:c>
      <x:c r="F15" s="68" t="n">
        <x:f>'參數'!F10</x:f>
        <x:v>3</x:v>
      </x:c>
      <x:c r="G15" s="69" t="n">
        <x:f>'參數'!G10</x:f>
        <x:v>3.88</x:v>
      </x:c>
      <x:c r="H15" s="69" t="n">
        <x:f>'參數'!H10</x:f>
        <x:v>3</x:v>
      </x:c>
    </x:row>
    <x:row r="16">
      <x:c r="A16" s="67" t="str">
        <x:f>'參數'!A11</x:f>
        <x:v>軟體研發／DevOps</x:v>
      </x:c>
      <x:c r="B16" s="68" t="n">
        <x:f>'參數'!B11</x:f>
        <x:v>40</x:v>
      </x:c>
      <x:c r="C16" s="68" t="n">
        <x:f>'參數'!C11</x:f>
        <x:v>40</x:v>
      </x:c>
      <x:c r="D16" s="68" t="n">
        <x:f>'參數'!D11</x:f>
        <x:v>0</x:v>
      </x:c>
      <x:c r="E16" s="68" t="n">
        <x:f>'參數'!E11</x:f>
        <x:v>40</x:v>
      </x:c>
      <x:c r="F16" s="68" t="n">
        <x:f>'參數'!F11</x:f>
        <x:v>0</x:v>
      </x:c>
      <x:c r="G16" s="69" t="n">
        <x:f>'參數'!G11</x:f>
        <x:v>4.85</x:v>
      </x:c>
      <x:c r="H16" s="69" t="n">
        <x:f>'參數'!H11</x:f>
        <x:v>4</x:v>
      </x:c>
    </x:row>
    <x:row r="17">
      <x:c r="A17" s="67" t="str">
        <x:f>'參數'!A12</x:f>
        <x:v>Data／DataOps</x:v>
      </x:c>
      <x:c r="B17" s="68" t="n">
        <x:f>'參數'!B12</x:f>
        <x:v>35</x:v>
      </x:c>
      <x:c r="C17" s="68" t="n">
        <x:f>'參數'!C12</x:f>
        <x:v>35</x:v>
      </x:c>
      <x:c r="D17" s="68" t="n">
        <x:f>'參數'!D12</x:f>
        <x:v>0</x:v>
      </x:c>
      <x:c r="E17" s="68" t="n">
        <x:f>'參數'!E12</x:f>
        <x:v>35</x:v>
      </x:c>
      <x:c r="F17" s="68" t="n">
        <x:f>'參數'!F12</x:f>
        <x:v>0</x:v>
      </x:c>
      <x:c r="G17" s="69" t="n">
        <x:f>'參數'!G12</x:f>
        <x:v>4.857142857142857</x:v>
      </x:c>
      <x:c r="H17" s="69" t="n">
        <x:f>'參數'!H12</x:f>
        <x:v>4</x:v>
      </x:c>
    </x:row>
    <x:row r="18">
      <x:c r="A18" s="67" t="str">
        <x:f>'參數'!A13</x:f>
        <x:v>Industrial AI 新應用</x:v>
      </x:c>
      <x:c r="B18" s="68" t="n">
        <x:f>'參數'!B13</x:f>
        <x:v>30</x:v>
      </x:c>
      <x:c r="C18" s="68" t="n">
        <x:f>'參數'!C13</x:f>
        <x:v>30</x:v>
      </x:c>
      <x:c r="D18" s="68" t="n">
        <x:f>'參數'!D13</x:f>
        <x:v>0</x:v>
      </x:c>
      <x:c r="E18" s="68" t="n">
        <x:f>'參數'!E13</x:f>
        <x:v>30</x:v>
      </x:c>
      <x:c r="F18" s="68" t="n">
        <x:f>'參數'!F13</x:f>
        <x:v>0</x:v>
      </x:c>
      <x:c r="G18" s="69" t="n">
        <x:f>'參數'!G13</x:f>
        <x:v>4.866666666666666</x:v>
      </x:c>
      <x:c r="H18" s="69" t="n">
        <x:f>'參數'!H13</x:f>
        <x:v>4.8</x:v>
      </x:c>
    </x:row>
    <x:row r="19">
      <x:c r="A19" s="67" t="str">
        <x:f>'參數'!A14</x:f>
        <x:v>國際貿易</x:v>
      </x:c>
      <x:c r="B19" s="68" t="n">
        <x:f>'參數'!B14</x:f>
        <x:v>25</x:v>
      </x:c>
      <x:c r="C19" s="68" t="n">
        <x:f>'參數'!C14</x:f>
        <x:v>25</x:v>
      </x:c>
      <x:c r="D19" s="68" t="n">
        <x:f>'參數'!D14</x:f>
        <x:v>0</x:v>
      </x:c>
      <x:c r="E19" s="68" t="n">
        <x:f>'參數'!E14</x:f>
        <x:v>22</x:v>
      </x:c>
      <x:c r="F19" s="68" t="n">
        <x:f>'參數'!F14</x:f>
        <x:v>3</x:v>
      </x:c>
      <x:c r="G19" s="69" t="n">
        <x:f>'參數'!G14</x:f>
        <x:v>3.88</x:v>
      </x:c>
      <x:c r="H19" s="69" t="n">
        <x:f>'參數'!H14</x:f>
        <x:v>4</x:v>
      </x:c>
    </x:row>
    <x:row r="20">
      <x:c r="A20" s="67" t="str">
        <x:f>'參數'!A15</x:f>
        <x:v>實驗室／Lab</x:v>
      </x:c>
      <x:c r="B20" s="68" t="n">
        <x:f>'參數'!B15</x:f>
        <x:v>20</x:v>
      </x:c>
      <x:c r="C20" s="68" t="n">
        <x:f>'參數'!C15</x:f>
        <x:v>20</x:v>
      </x:c>
      <x:c r="D20" s="68" t="n">
        <x:f>'參數'!D15</x:f>
        <x:v>0</x:v>
      </x:c>
      <x:c r="E20" s="68" t="n">
        <x:f>'參數'!E15</x:f>
        <x:v>0</x:v>
      </x:c>
      <x:c r="F20" s="68" t="n">
        <x:f>'參數'!F15</x:f>
        <x:v>20</x:v>
      </x:c>
      <x:c r="G20" s="69" t="n">
        <x:f>'參數'!G15</x:f>
        <x:v>3.9</x:v>
      </x:c>
      <x:c r="H20" s="69" t="n">
        <x:f>'參數'!H15</x:f>
        <x:v>4</x:v>
      </x:c>
    </x:row>
    <x:row r="21">
      <x:c r="A21" s="67" t="str">
        <x:f>'參數'!A16</x:f>
        <x:v>政府標案／補助</x:v>
      </x:c>
      <x:c r="B21" s="68" t="n">
        <x:f>'參數'!B16</x:f>
        <x:v>20</x:v>
      </x:c>
      <x:c r="C21" s="68" t="n">
        <x:f>'參數'!C16</x:f>
        <x:v>20</x:v>
      </x:c>
      <x:c r="D21" s="68" t="n">
        <x:f>'參數'!D16</x:f>
        <x:v>0</x:v>
      </x:c>
      <x:c r="E21" s="68" t="n">
        <x:f>'參數'!E16</x:f>
        <x:v>18</x:v>
      </x:c>
      <x:c r="F21" s="68" t="n">
        <x:f>'參數'!F16</x:f>
        <x:v>2</x:v>
      </x:c>
      <x:c r="G21" s="69" t="n">
        <x:f>'參數'!G16</x:f>
        <x:v>3.9</x:v>
      </x:c>
      <x:c r="H21" s="69" t="n">
        <x:f>'參數'!H16</x:f>
        <x:v>3</x:v>
      </x:c>
    </x:row>
    <x:row r="22">
      <x:c r="A22" s="67" t="str">
        <x:f>'參數'!A17</x:f>
        <x:v>Treasury／FinTech</x:v>
      </x:c>
      <x:c r="B22" s="68" t="n">
        <x:f>'參數'!B17</x:f>
        <x:v>20</x:v>
      </x:c>
      <x:c r="C22" s="68" t="n">
        <x:f>'參數'!C17</x:f>
        <x:v>20</x:v>
      </x:c>
      <x:c r="D22" s="68" t="n">
        <x:f>'參數'!D17</x:f>
        <x:v>0</x:v>
      </x:c>
      <x:c r="E22" s="68" t="n">
        <x:f>'參數'!E17</x:f>
        <x:v>20</x:v>
      </x:c>
      <x:c r="F22" s="68" t="n">
        <x:f>'參數'!F17</x:f>
        <x:v>0</x:v>
      </x:c>
      <x:c r="G22" s="69" t="n">
        <x:f>'參數'!G17</x:f>
        <x:v>4.9</x:v>
      </x:c>
      <x:c r="H22" s="69" t="n">
        <x:f>'參數'!H17</x:f>
        <x:v>4</x:v>
      </x:c>
    </x:row>
    <x:row r="23">
      <x:c r="A23" s="67" t="str">
        <x:f>'參數'!A18</x:f>
        <x:v>企業學習／人才</x:v>
      </x:c>
      <x:c r="B23" s="68" t="n">
        <x:f>'參數'!B18</x:f>
        <x:v>15</x:v>
      </x:c>
      <x:c r="C23" s="68" t="n">
        <x:f>'參數'!C18</x:f>
        <x:v>15</x:v>
      </x:c>
      <x:c r="D23" s="68" t="n">
        <x:f>'參數'!D18</x:f>
        <x:v>0</x:v>
      </x:c>
      <x:c r="E23" s="68" t="n">
        <x:f>'參數'!E18</x:f>
        <x:v>0</x:v>
      </x:c>
      <x:c r="F23" s="68" t="n">
        <x:f>'參數'!F18</x:f>
        <x:v>15</x:v>
      </x:c>
      <x:c r="G23" s="69" t="n">
        <x:f>'參數'!G18</x:f>
        <x:v>3.8666666666666667</x:v>
      </x:c>
      <x:c r="H23" s="69" t="n">
        <x:f>'參數'!H18</x:f>
        <x:v>3</x:v>
      </x:c>
    </x:row>
    <x:row r="24">
      <x:c r="A24" s="67" t="str">
        <x:f>'參數'!A19</x:f>
        <x:v>Enterprise Search／KM</x:v>
      </x:c>
      <x:c r="B24" s="68" t="n">
        <x:f>'參數'!B19</x:f>
        <x:v>20</x:v>
      </x:c>
      <x:c r="C24" s="68" t="n">
        <x:f>'參數'!C19</x:f>
        <x:v>20</x:v>
      </x:c>
      <x:c r="D24" s="68" t="n">
        <x:f>'參數'!D19</x:f>
        <x:v>16</x:v>
      </x:c>
      <x:c r="E24" s="68" t="n">
        <x:f>'參數'!E19</x:f>
        <x:v>4</x:v>
      </x:c>
      <x:c r="F24" s="68" t="n">
        <x:f>'參數'!F19</x:f>
        <x:v>0</x:v>
      </x:c>
      <x:c r="G24" s="69" t="n">
        <x:f>'參數'!G19</x:f>
        <x:v>4.9</x:v>
      </x:c>
      <x:c r="H24" s="69" t="n">
        <x:f>'參數'!H19</x:f>
        <x:v>3</x:v>
      </x:c>
    </x:row>
    <x:row r="25">
      <x:c r="A25" s="67" t="str">
        <x:f>'參數'!A20</x:f>
        <x:v>IoT／Edge AI</x:v>
      </x:c>
      <x:c r="B25" s="68" t="n">
        <x:f>'參數'!B20</x:f>
        <x:v>15</x:v>
      </x:c>
      <x:c r="C25" s="68" t="n">
        <x:f>'參數'!C20</x:f>
        <x:v>15</x:v>
      </x:c>
      <x:c r="D25" s="68" t="n">
        <x:f>'參數'!D20</x:f>
        <x:v>0</x:v>
      </x:c>
      <x:c r="E25" s="68" t="n">
        <x:f>'參數'!E20</x:f>
        <x:v>0</x:v>
      </x:c>
      <x:c r="F25" s="68" t="n">
        <x:f>'參數'!F20</x:f>
        <x:v>15</x:v>
      </x:c>
      <x:c r="G25" s="69" t="n">
        <x:f>'參數'!G20</x:f>
        <x:v>3.8666666666666667</x:v>
      </x:c>
      <x:c r="H25" s="69" t="n">
        <x:f>'參數'!H20</x:f>
        <x:v>4.8</x:v>
      </x:c>
    </x:row>
    <x:row r="26">
      <x:c r="A26" s="67" t="str">
        <x:f>'參數'!A21</x:f>
        <x:v>MCP／Skills／API</x:v>
      </x:c>
      <x:c r="B26" s="68" t="n">
        <x:f>'參數'!B21</x:f>
        <x:v>20</x:v>
      </x:c>
      <x:c r="C26" s="68" t="n">
        <x:f>'參數'!C21</x:f>
        <x:v>20</x:v>
      </x:c>
      <x:c r="D26" s="68" t="n">
        <x:f>'參數'!D21</x:f>
        <x:v>16</x:v>
      </x:c>
      <x:c r="E26" s="68" t="n">
        <x:f>'參數'!E21</x:f>
        <x:v>4</x:v>
      </x:c>
      <x:c r="F26" s="68" t="n">
        <x:f>'參數'!F21</x:f>
        <x:v>0</x:v>
      </x:c>
      <x:c r="G26" s="69" t="n">
        <x:f>'參數'!G21</x:f>
        <x:v>4.9</x:v>
      </x:c>
      <x:c r="H26" s="69" t="n">
        <x:f>'參數'!H21</x:f>
        <x:v>4</x:v>
      </x:c>
    </x:row>
    <x:row r="27">
      <x:c r="A27" s="70" t="str">
        <x:f>'參數'!A22</x:f>
        <x:v>合計</x:v>
      </x:c>
      <x:c r="B27" s="71" t="n">
        <x:f>'參數'!B22</x:f>
        <x:v>500</x:v>
      </x:c>
      <x:c r="C27" s="71" t="n">
        <x:f>'參數'!C22</x:f>
        <x:v>500</x:v>
      </x:c>
      <x:c r="D27" s="71" t="n">
        <x:f>'參數'!D22</x:f>
        <x:v>130</x:v>
      </x:c>
      <x:c r="E27" s="71" t="n">
        <x:f>'參數'!E22</x:f>
        <x:v>277</x:v>
      </x:c>
      <x:c r="F27" s="71" t="n">
        <x:f>'參數'!F22</x:f>
        <x:v>93</x:v>
      </x:c>
      <x:c r="G27" s="72" t="n">
        <x:f>'參數'!G22</x:f>
        <x:v>4.438</x:v>
      </x:c>
      <x:c r="H27" s="72" t="n">
        <x:f>'參數'!H22</x:f>
        <x:v>3.734</x:v>
      </x:c>
    </x:row>
    <x:row r="29">
      <x:c r="A29" s="60" t="str">
        <x:v>規劃備註與建議用法</x:v>
      </x:c>
    </x:row>
    <x:row r="30" ht="25" customHeight="1">
      <x:c r="A30" s="77" t="str">
        <x:v>1) 原對話的 18 類配額表實際加總為 515；本版保留 18 類，將 AI Agent 50→45、企業 AI 40→35、Industrial AI 35→30，精確校正為 500。
2) 去重不是只比名稱：每筆以「痛點＋主要輸入資料＋核心決策／產出＋Agent 閉環＋Demo」界定產品邊界。
3) 原 PDF 未隨參照對話帶入，因此風險為初篩。取得 463 原始名稱與功能清單後，建議做第二階段：名稱相似度、功能語意相似度、資料／流程重疊度三層複核。
4) 開發順序：先做 Wave 1 共用平台與旗艦，再以同一資料連接、權限、稽核與 UI 模板批量產生 Wave 2／3。</x:v>
      </x:c>
    </x:row>
    <x:row r="31" ht="25" customHeight="1"/>
    <x:row r="32" ht="25" customHeight="1"/>
    <x:row r="33" ht="25" customHeight="1"/>
  </x:sheetData>
  <x:mergeCells>
    <x:mergeCell ref="A1:L1"/>
    <x:mergeCell ref="A2:L2"/>
    <x:mergeCell ref="A4:C6"/>
    <x:mergeCell ref="D4:F6"/>
    <x:mergeCell ref="G4:I6"/>
    <x:mergeCell ref="J4:L6"/>
    <x:mergeCell ref="A3:C3"/>
    <x:mergeCell ref="D3:F3"/>
    <x:mergeCell ref="G3:I3"/>
    <x:mergeCell ref="J3:L3"/>
    <x:mergeCell ref="A7:L7"/>
    <x:mergeCell ref="A29:L29"/>
    <x:mergeCell ref="A30:L33"/>
  </x:mergeCells>
  <x:pageMargins left="0.7" right="0.7" top="0.75" bottom="0.75" header="0.3" footer="0.3"/>
  <x:drawing xmlns:r="http://schemas.openxmlformats.org/officeDocument/2006/relationships" r:id="Rab937d52f77c47c8"/>
  <x:legacyDrawing xmlns:r="http://schemas.openxmlformats.org/officeDocument/2006/relationships" r:id="R723ac0ea305840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3" hidden="0" customWidth="1"/>
    <x:col min="4" max="4" width="19" hidden="0" customWidth="1"/>
    <x:col min="5" max="5" width="22" hidden="0" customWidth="1"/>
    <x:col min="6" max="6" width="24" hidden="0" customWidth="1"/>
    <x:col min="7" max="7" width="42" hidden="0" customWidth="1"/>
    <x:col min="8" max="8" width="52" hidden="0" customWidth="1"/>
    <x:col min="9" max="9" width="42" hidden="0" customWidth="1"/>
    <x:col min="10" max="10" width="48" hidden="0" customWidth="1"/>
    <x:col min="11" max="11" width="24" hidden="0" customWidth="1"/>
    <x:col min="12" max="12" width="40" hidden="0" customWidth="1"/>
    <x:col min="13" max="13" width="35" hidden="0" customWidth="1"/>
    <x:col min="14" max="14" width="58" hidden="0" customWidth="1"/>
    <x:col min="15" max="15" width="18" hidden="0" customWidth="1"/>
    <x:col min="16" max="16" width="58" hidden="0" customWidth="1"/>
    <x:col min="17" max="17" width="16" hidden="0" customWidth="1"/>
    <x:col min="18" max="18" width="16" hidden="0" customWidth="1"/>
    <x:col min="19" max="19" width="15" hidden="0" customWidth="1"/>
    <x:col min="20" max="20" width="16" hidden="0" customWidth="1"/>
    <x:col min="21" max="21" width="25" hidden="0" customWidth="1"/>
  </x:cols>
  <x:sheetData>
    <x:row r="1" ht="34" customHeight="1">
      <x:c r="A1" s="3" t="str">
        <x:v>JVision 新增 500 Apps Master List</x:v>
      </x:c>
    </x:row>
    <x:row r="2" ht="30" customHeight="1">
      <x:c r="A2" s="7" t="str">
        <x:v>AI-native 企業應用產品規劃｜每列具獨立痛點、資料輸入、核心產出與 Agent 閉環；請用篩選器依分類、優先級與難度建立批次開發 backlog。</x:v>
      </x:c>
    </x:row>
    <x:row r="3" ht="28" customHeight="1">
      <x:c r="A3" s="11" t="str">
        <x:v>風險聲明：原 PDF 附件未隨參照對話帶入本工作區；「與原463重複風險」係依對話揭示的 28 類、146 模組、23 原型與功能邊界評估，取得原始 463 清單後宜再做逐項語意複核。</x:v>
      </x:c>
    </x:row>
    <x:row r="4" ht="38" customHeight="1">
      <x:c r="A4" s="23" t="str">
        <x:v>編號</x:v>
      </x:c>
      <x:c r="B4" s="24" t="str">
        <x:v>App 名稱</x:v>
      </x:c>
      <x:c r="C4" s="24" t="str">
        <x:v>產品群／分類</x:v>
      </x:c>
      <x:c r="D4" s="24" t="str">
        <x:v>子領域</x:v>
      </x:c>
      <x:c r="E4" s="24" t="str">
        <x:v>使用部門</x:v>
      </x:c>
      <x:c r="F4" s="24" t="str">
        <x:v>主要使用者</x:v>
      </x:c>
      <x:c r="G4" s="24" t="str">
        <x:v>解決痛點</x:v>
      </x:c>
      <x:c r="H4" s="24" t="str">
        <x:v>核心功能</x:v>
      </x:c>
      <x:c r="I4" s="24" t="str">
        <x:v>AI 能力</x:v>
      </x:c>
      <x:c r="J4" s="24" t="str">
        <x:v>Agent 能力</x:v>
      </x:c>
      <x:c r="K4" s="24" t="str">
        <x:v>Agent 自主等級</x:v>
      </x:c>
      <x:c r="L4" s="24" t="str">
        <x:v>所需企業資料</x:v>
      </x:c>
      <x:c r="M4" s="24" t="str">
        <x:v>可串接系統</x:v>
      </x:c>
      <x:c r="N4" s="24" t="str">
        <x:v>Demo 情境</x:v>
      </x:c>
      <x:c r="O4" s="24" t="str">
        <x:v>與原463重複風險</x:v>
      </x:c>
      <x:c r="P4" s="24" t="str">
        <x:v>差異化界線</x:v>
      </x:c>
      <x:c r="Q4" s="24" t="str">
        <x:v>商業價值 (1-5)</x:v>
      </x:c>
      <x:c r="R4" s="24" t="str">
        <x:v>開發難度 (1-5)</x:v>
      </x:c>
      <x:c r="S4" s="24" t="str">
        <x:v>建議優先級</x:v>
      </x:c>
      <x:c r="T4" s="24" t="str">
        <x:v>MVP 估計週數</x:v>
      </x:c>
      <x:c r="U4" s="25" t="str">
        <x:v>批次開發波次</x:v>
      </x:c>
    </x:row>
    <x:row r="5" ht="86" customHeight="1">
      <x:c r="A5" s="32" t="str">
        <x:v>JV-001</x:v>
      </x:c>
      <x:c r="B5" s="33" t="str">
        <x:v>Agent 藍圖設計師</x:v>
      </x:c>
      <x:c r="C5" s="33" t="str">
        <x:v>AI Agent／Agentic AI</x:v>
      </x:c>
      <x:c r="D5" s="33" t="str">
        <x:v>設計與建構</x:v>
      </x:c>
      <x:c r="E5" s="33" t="str">
        <x:v>資訊、數位轉型、各業務部門</x:v>
      </x:c>
      <x:c r="F5" s="33" t="str">
        <x:v>AI 平台負責人、流程主管、產品經理</x:v>
      </x:c>
      <x:c r="G5" s="33" t="str">
        <x:v>現行作法對「把業務目標拆成角色、工具、知識與成功條件」多靠人工彙整、個人經驗或事後處理，難以一致追蹤，造成決策延遲與重工。</x:v>
      </x:c>
      <x:c r="H5" s="33" t="str">
        <x:v>資料／事件接入；把業務目標拆成角色、工具、知識與成功條件；證據與信心呈現；例外分流與人工覆核；縮短 Agent 規格定義時間成效追蹤；完整稽核軌跡</x:v>
      </x:c>
      <x:c r="I5" s="33" t="str">
        <x:v>語意分類與實體抽取；風險／信心評分；具證據的生成與摘要；專門模型焦點：把業務目標拆成角色、工具、知識與成功條件</x:v>
      </x:c>
      <x:c r="J5" s="33" t="str">
        <x:v>持續監測事件，達門檻後建立案件、蒐集證據、指派責任並追蹤結案；高風險動作需人工核准</x:v>
      </x:c>
      <x:c r="K5" s="33" t="str">
        <x:v>L3 可執行／關鍵核准</x:v>
      </x:c>
      <x:c r="L5" s="33" t="str">
        <x:v>Agent 定義、任務軌跡、工具呼叫、權限、成本、評測結果</x:v>
      </x:c>
      <x:c r="M5" s="33" t="str">
        <x:v>JVision Agent OS、IAM、SIEM、ERP、CRM、MCP Server</x:v>
      </x:c>
      <x:c r="N5" s="33" t="str">
        <x:v>一家製造企業同時運行 30 個數位員工，需要安全地建立、測試、派工、監督與持續改善。Demo：匯入一組去識別資料，觸發「把業務目標拆成角色、工具、知識與成功條件」，由系統提出證據、建議與下一步；使用者核准後回寫任務，最後呈現「縮短 Agent 規格定義時間」前後差異。</x:v>
      </x:c>
      <x:c r="O5" s="33" t="str">
        <x:v>中低</x:v>
      </x:c>
      <x:c r="P5" s="33" t="str">
        <x:v>鄰近既有能力：原有 AI Agent 展示多聚焦單一業務任務，未必涵蓋 Agent 全生命週期平台治理。本 App 的獨立邊界是「把業務目標拆成角色、工具、知識與成功條件」，主要產出為「縮短 Agent 規格定義時間」，不是一般登錄、查詢或看板。</x:v>
      </x:c>
      <x:c r="Q5" s="34" t="n">
        <x:v>5</x:v>
      </x:c>
      <x:c r="R5" s="34" t="n">
        <x:v>3</x:v>
      </x:c>
      <x:c r="S5" s="34" t="str">
        <x:v>P0</x:v>
      </x:c>
      <x:c r="T5" s="34" t="n">
        <x:v>6</x:v>
      </x:c>
      <x:c r="U5" s="35" t="str">
        <x:v>Wave 1 平台底座／旗艦</x:v>
      </x:c>
    </x:row>
    <x:row r="6" ht="86" customHeight="1">
      <x:c r="A6" s="36" t="str">
        <x:v>JV-002</x:v>
      </x:c>
      <x:c r="B6" s="37" t="str">
        <x:v>Agent 能力分解器</x:v>
      </x:c>
      <x:c r="C6" s="37" t="str">
        <x:v>AI Agent／Agentic AI</x:v>
      </x:c>
      <x:c r="D6" s="37" t="str">
        <x:v>設計與建構</x:v>
      </x:c>
      <x:c r="E6" s="37" t="str">
        <x:v>資訊、數位轉型、各業務部門</x:v>
      </x:c>
      <x:c r="F6" s="37" t="str">
        <x:v>AI 平台負責人、流程主管、產品經理</x:v>
      </x:c>
      <x:c r="G6" s="37" t="str">
        <x:v>現行作法對「將複雜任務分解為可重用能力與責任邊界」多靠人工彙整、個人經驗或事後處理，難以一致追蹤，造成決策延遲與重工。</x:v>
      </x:c>
      <x:c r="H6" s="37" t="str">
        <x:v>資料／事件接入；將複雜任務分解為可重用能力與責任邊界；證據與信心呈現；例外分流與人工覆核；降低單體 Agent 失控風險成效追蹤；完整稽核軌跡</x:v>
      </x:c>
      <x:c r="I6" s="37" t="str">
        <x:v>預測與情境模擬；多目標最佳化；不確定性呈現；專門模型焦點：將複雜任務分解為可重用能力與責任邊界</x:v>
      </x:c>
      <x:c r="J6" s="37" t="str">
        <x:v>定期掃描資料與外部訊號，提出優先序與建議；經核准後同步任務與更新來源系統</x:v>
      </x:c>
      <x:c r="K6" s="37" t="str">
        <x:v>L4 有護欄自主執行</x:v>
      </x:c>
      <x:c r="L6" s="37" t="str">
        <x:v>Agent 定義、任務軌跡、工具呼叫、權限、成本、評測結果</x:v>
      </x:c>
      <x:c r="M6" s="37" t="str">
        <x:v>JVision Agent OS、IAM、SIEM、ERP、CRM、MCP Server</x:v>
      </x:c>
      <x:c r="N6" s="37" t="str">
        <x:v>一家製造企業同時運行 30 個數位員工，需要安全地建立、測試、派工、監督與持續改善。Demo：匯入一組去識別資料，觸發「將複雜任務分解為可重用能力與責任邊界」，由系統提出證據、建議與下一步；使用者核准後回寫任務，最後呈現「降低單體 Agent 失控風險」前後差異。</x:v>
      </x:c>
      <x:c r="O6" s="37" t="str">
        <x:v>低</x:v>
      </x:c>
      <x:c r="P6" s="37" t="str">
        <x:v>鄰近既有能力：原有 AI Agent 展示多聚焦單一業務任務，未必涵蓋 Agent 全生命週期平台治理。本 App 的獨立邊界是「將複雜任務分解為可重用能力與責任邊界」，主要產出為「降低單體 Agent 失控風險」，不是一般登錄、查詢或看板。</x:v>
      </x:c>
      <x:c r="Q6" s="38" t="n">
        <x:v>5</x:v>
      </x:c>
      <x:c r="R6" s="38" t="n">
        <x:v>4</x:v>
      </x:c>
      <x:c r="S6" s="38" t="str">
        <x:v>P0</x:v>
      </x:c>
      <x:c r="T6" s="38" t="n">
        <x:v>8</x:v>
      </x:c>
      <x:c r="U6" s="39" t="str">
        <x:v>Wave 1 平台底座／旗艦</x:v>
      </x:c>
    </x:row>
    <x:row r="7" ht="86" customHeight="1">
      <x:c r="A7" s="36" t="str">
        <x:v>JV-003</x:v>
      </x:c>
      <x:c r="B7" s="37" t="str">
        <x:v>Agent 工具映射器</x:v>
      </x:c>
      <x:c r="C7" s="37" t="str">
        <x:v>AI Agent／Agentic AI</x:v>
      </x:c>
      <x:c r="D7" s="37" t="str">
        <x:v>設計與建構</x:v>
      </x:c>
      <x:c r="E7" s="37" t="str">
        <x:v>資訊、數位轉型、各業務部門</x:v>
      </x:c>
      <x:c r="F7" s="37" t="str">
        <x:v>AI 平台負責人、流程主管、產品經理</x:v>
      </x:c>
      <x:c r="G7" s="37" t="str">
        <x:v>現行作法對「把工作步驟對應到 API、MCP 與人工節點」多靠人工彙整、個人經驗或事後處理，難以一致追蹤，造成決策延遲與重工。</x:v>
      </x:c>
      <x:c r="H7" s="37" t="str">
        <x:v>資料／事件接入；把工作步驟對應到 API、MCP 與人工節點；證據與信心呈現；例外分流與人工覆核；快速完成可執行工具配置成效追蹤；完整稽核軌跡</x:v>
      </x:c>
      <x:c r="I7" s="37" t="str">
        <x:v>跨文件／跨系統比對；圖譜推理；差異與缺口生成；專門模型焦點：把工作步驟對應到 API、MCP 與人工節點</x:v>
      </x:c>
      <x:c r="J7" s="37" t="str">
        <x:v>以人機協作模式先產生草案與證據包，接受修改後執行核准步驟並建立完整稽核軌跡</x:v>
      </x:c>
      <x:c r="K7" s="37" t="str">
        <x:v>L4 有護欄自主執行</x:v>
      </x:c>
      <x:c r="L7" s="37" t="str">
        <x:v>Agent 定義、任務軌跡、工具呼叫、權限、成本、評測結果</x:v>
      </x:c>
      <x:c r="M7" s="37" t="str">
        <x:v>JVision Agent OS、IAM、SIEM、ERP、CRM、MCP Server</x:v>
      </x:c>
      <x:c r="N7" s="37" t="str">
        <x:v>一家製造企業同時運行 30 個數位員工，需要安全地建立、測試、派工、監督與持續改善。Demo：匯入一組去識別資料，觸發「把工作步驟對應到 API、MCP 與人工節點」，由系統提出證據、建議與下一步；使用者核准後回寫任務，最後呈現「快速完成可執行工具配置」前後差異。</x:v>
      </x:c>
      <x:c r="O7" s="37" t="str">
        <x:v>低</x:v>
      </x:c>
      <x:c r="P7" s="37" t="str">
        <x:v>鄰近既有能力：原有 AI Agent 展示多聚焦單一業務任務，未必涵蓋 Agent 全生命週期平台治理。本 App 的獨立邊界是「把工作步驟對應到 API、MCP 與人工節點」，主要產出為「快速完成可執行工具配置」，不是一般登錄、查詢或看板。</x:v>
      </x:c>
      <x:c r="Q7" s="38" t="n">
        <x:v>5</x:v>
      </x:c>
      <x:c r="R7" s="38" t="n">
        <x:v>4</x:v>
      </x:c>
      <x:c r="S7" s="38" t="str">
        <x:v>P0</x:v>
      </x:c>
      <x:c r="T7" s="38" t="n">
        <x:v>8</x:v>
      </x:c>
      <x:c r="U7" s="39" t="str">
        <x:v>Wave 1 平台底座／旗艦</x:v>
      </x:c>
    </x:row>
    <x:row r="8" ht="86" customHeight="1">
      <x:c r="A8" s="36" t="str">
        <x:v>JV-004</x:v>
      </x:c>
      <x:c r="B8" s="37" t="str">
        <x:v>Agent Policy 註解器</x:v>
      </x:c>
      <x:c r="C8" s="37" t="str">
        <x:v>AI Agent／Agentic AI</x:v>
      </x:c>
      <x:c r="D8" s="37" t="str">
        <x:v>設計與建構</x:v>
      </x:c>
      <x:c r="E8" s="37" t="str">
        <x:v>資訊、數位轉型、各業務部門</x:v>
      </x:c>
      <x:c r="F8" s="37" t="str">
        <x:v>AI 平台負責人、流程主管、產品經理</x:v>
      </x:c>
      <x:c r="G8" s="37" t="str">
        <x:v>現行作法對「在流程節點嵌入權限、法遵與資料政策」多靠人工彙整、個人經驗或事後處理，難以一致追蹤，造成決策延遲與重工。</x:v>
      </x:c>
      <x:c r="H8" s="37" t="str">
        <x:v>資料／事件接入；在流程節點嵌入權限、法遵與資料政策；證據與信心呈現；例外分流與人工覆核；讓治理規則隨設計落地成效追蹤；完整稽核軌跡</x:v>
      </x:c>
      <x:c r="I8" s="37" t="str">
        <x:v>異常偵測；因果線索分析；可解釋的建議排序；專門模型焦點：在流程節點嵌入權限、法遵與資料政策</x:v>
      </x:c>
      <x:c r="J8" s="37" t="str">
        <x:v>依目標自主規劃步驟、呼叫核准工具、遇到例外改走人工佇列，完成後驗證結果並回報</x:v>
      </x:c>
      <x:c r="K8" s="37" t="str">
        <x:v>L4 有護欄自主執行</x:v>
      </x:c>
      <x:c r="L8" s="37" t="str">
        <x:v>Agent 定義、任務軌跡、工具呼叫、權限、成本、評測結果</x:v>
      </x:c>
      <x:c r="M8" s="37" t="str">
        <x:v>JVision Agent OS、IAM、SIEM、ERP、CRM、MCP Server</x:v>
      </x:c>
      <x:c r="N8" s="37" t="str">
        <x:v>一家製造企業同時運行 30 個數位員工，需要安全地建立、測試、派工、監督與持續改善。Demo：匯入一組去識別資料，觸發「在流程節點嵌入權限、法遵與資料政策」，由系統提出證據、建議與下一步；使用者核准後回寫任務，最後呈現「讓治理規則隨設計落地」前後差異。</x:v>
      </x:c>
      <x:c r="O8" s="37" t="str">
        <x:v>低</x:v>
      </x:c>
      <x:c r="P8" s="37" t="str">
        <x:v>鄰近既有能力：原有 AI Agent 展示多聚焦單一業務任務，未必涵蓋 Agent 全生命週期平台治理。本 App 的獨立邊界是「在流程節點嵌入權限、法遵與資料政策」，主要產出為「讓治理規則隨設計落地」，不是一般登錄、查詢或看板。</x:v>
      </x:c>
      <x:c r="Q8" s="38" t="n">
        <x:v>4</x:v>
      </x:c>
      <x:c r="R8" s="38" t="n">
        <x:v>4</x:v>
      </x:c>
      <x:c r="S8" s="38" t="str">
        <x:v>P0</x:v>
      </x:c>
      <x:c r="T8" s="38" t="n">
        <x:v>8</x:v>
      </x:c>
      <x:c r="U8" s="39" t="str">
        <x:v>Wave 1 平台底座／旗艦</x:v>
      </x:c>
    </x:row>
    <x:row r="9" ht="86" customHeight="1">
      <x:c r="A9" s="36" t="str">
        <x:v>JV-005</x:v>
      </x:c>
      <x:c r="B9" s="37" t="str">
        <x:v>Agent Prompt 編譯器</x:v>
      </x:c>
      <x:c r="C9" s="37" t="str">
        <x:v>AI Agent／Agentic AI</x:v>
      </x:c>
      <x:c r="D9" s="37" t="str">
        <x:v>設計與建構</x:v>
      </x:c>
      <x:c r="E9" s="37" t="str">
        <x:v>資訊、數位轉型、各業務部門</x:v>
      </x:c>
      <x:c r="F9" s="37" t="str">
        <x:v>AI 平台負責人、流程主管、產品經理</x:v>
      </x:c>
      <x:c r="G9" s="37" t="str">
        <x:v>現行作法對「把自然語言 SOP 編譯為版本化系統提示與測試案例」多靠人工彙整、個人經驗或事後處理，難以一致追蹤，造成決策延遲與重工。</x:v>
      </x:c>
      <x:c r="H9" s="37" t="str">
        <x:v>資料／事件接入；把自然語言 SOP 編譯為版本化系統提示與測試案例；證據與信心呈現；例外分流與人工覆核；提高提示品質與可維護性成效追蹤；完整稽核軌跡</x:v>
      </x:c>
      <x:c r="I9" s="37" t="str">
        <x:v>RAG 檢索與來源引用；規則＋模型混合判斷；矛盾檢查；專門模型焦點：把自然語言 SOP 編譯為版本化系統提示與測試案例</x:v>
      </x:c>
      <x:c r="J9" s="37" t="str">
        <x:v>與多個專業 Agent 協作拆解任務，保留交接證據、逾時升級並在失敗時安全回滾</x:v>
      </x:c>
      <x:c r="K9" s="37" t="str">
        <x:v>L2 建議／需核准</x:v>
      </x:c>
      <x:c r="L9" s="37" t="str">
        <x:v>Agent 定義、任務軌跡、工具呼叫、權限、成本、評測結果</x:v>
      </x:c>
      <x:c r="M9" s="37" t="str">
        <x:v>JVision Agent OS、IAM、SIEM、ERP、CRM、MCP Server</x:v>
      </x:c>
      <x:c r="N9" s="37" t="str">
        <x:v>一家製造企業同時運行 30 個數位員工，需要安全地建立、測試、派工、監督與持續改善。Demo：匯入一組去識別資料，觸發「把自然語言 SOP 編譯為版本化系統提示與測試案例」，由系統提出證據、建議與下一步；使用者核准後回寫任務，最後呈現「提高提示品質與可維護性」前後差異。</x:v>
      </x:c>
      <x:c r="O9" s="37" t="str">
        <x:v>中低</x:v>
      </x:c>
      <x:c r="P9" s="37" t="str">
        <x:v>鄰近既有能力：原有 AI Agent 展示多聚焦單一業務任務，未必涵蓋 Agent 全生命週期平台治理。本 App 的獨立邊界是「把自然語言 SOP 編譯為版本化系統提示與測試案例」，主要產出為「提高提示品質與可維護性」，不是一般登錄、查詢或看板。</x:v>
      </x:c>
      <x:c r="Q9" s="38" t="n">
        <x:v>5</x:v>
      </x:c>
      <x:c r="R9" s="38" t="n">
        <x:v>5</x:v>
      </x:c>
      <x:c r="S9" s="38" t="str">
        <x:v>P0</x:v>
      </x:c>
      <x:c r="T9" s="38" t="n">
        <x:v>10</x:v>
      </x:c>
      <x:c r="U9" s="39" t="str">
        <x:v>Wave 1 平台底座／旗艦</x:v>
      </x:c>
    </x:row>
    <x:row r="10" ht="86" customHeight="1">
      <x:c r="A10" s="36" t="str">
        <x:v>JV-006</x:v>
      </x:c>
      <x:c r="B10" s="37" t="str">
        <x:v>Agent 情境模擬實驗室</x:v>
      </x:c>
      <x:c r="C10" s="37" t="str">
        <x:v>AI Agent／Agentic AI</x:v>
      </x:c>
      <x:c r="D10" s="37" t="str">
        <x:v>測試與驗證</x:v>
      </x:c>
      <x:c r="E10" s="37" t="str">
        <x:v>資訊、數位轉型、各業務部門</x:v>
      </x:c>
      <x:c r="F10" s="37" t="str">
        <x:v>AI 平台負責人、流程主管、產品經理</x:v>
      </x:c>
      <x:c r="G10" s="37" t="str">
        <x:v>現行作法對「以合成資料模擬尖峰、例外與跨系統任務」多靠人工彙整、個人經驗或事後處理，難以一致追蹤，造成決策延遲與重工。</x:v>
      </x:c>
      <x:c r="H10" s="37" t="str">
        <x:v>資料／事件接入；以合成資料模擬尖峰、例外與跨系統任務；證據與信心呈現；例外分流與人工覆核；上線前發現流程缺口成效追蹤；完整稽核軌跡</x:v>
      </x:c>
      <x:c r="I10" s="37" t="str">
        <x:v>語意分類與實體抽取；風險／信心評分；具證據的生成與摘要；專門模型焦點：以合成資料模擬尖峰、例外與跨系統任務</x:v>
      </x:c>
      <x:c r="J10" s="37" t="str">
        <x:v>持續監測事件，達門檻後建立案件、蒐集證據、指派責任並追蹤結案；高風險動作需人工核准</x:v>
      </x:c>
      <x:c r="K10" s="37" t="str">
        <x:v>L3 可執行／關鍵核准</x:v>
      </x:c>
      <x:c r="L10" s="37" t="str">
        <x:v>Agent 定義、任務軌跡、工具呼叫、權限、成本、評測結果</x:v>
      </x:c>
      <x:c r="M10" s="37" t="str">
        <x:v>JVision Agent OS、IAM、SIEM、ERP、CRM、MCP Server</x:v>
      </x:c>
      <x:c r="N10" s="37" t="str">
        <x:v>一家製造企業同時運行 30 個數位員工，需要安全地建立、測試、派工、監督與持續改善。Demo：匯入一組去識別資料，觸發「以合成資料模擬尖峰、例外與跨系統任務」，由系統提出證據、建議與下一步；使用者核准後回寫任務，最後呈現「上線前發現流程缺口」前後差異。</x:v>
      </x:c>
      <x:c r="O10" s="37" t="str">
        <x:v>中低</x:v>
      </x:c>
      <x:c r="P10" s="37" t="str">
        <x:v>鄰近既有能力：原有 AI Agent 展示多聚焦單一業務任務，未必涵蓋 Agent 全生命週期平台治理。本 App 的獨立邊界是「以合成資料模擬尖峰、例外與跨系統任務」，主要產出為「上線前發現流程缺口」，不是一般登錄、查詢或看板。</x:v>
      </x:c>
      <x:c r="Q10" s="38" t="n">
        <x:v>5</x:v>
      </x:c>
      <x:c r="R10" s="38" t="n">
        <x:v>3</x:v>
      </x:c>
      <x:c r="S10" s="38" t="str">
        <x:v>P1</x:v>
      </x:c>
      <x:c r="T10" s="38" t="n">
        <x:v>7</x:v>
      </x:c>
      <x:c r="U10" s="39" t="str">
        <x:v>Wave 2 高價值套件</x:v>
      </x:c>
    </x:row>
    <x:row r="11" ht="86" customHeight="1">
      <x:c r="A11" s="36" t="str">
        <x:v>JV-007</x:v>
      </x:c>
      <x:c r="B11" s="37" t="str">
        <x:v>Agent 回歸測試中心</x:v>
      </x:c>
      <x:c r="C11" s="37" t="str">
        <x:v>AI Agent／Agentic AI</x:v>
      </x:c>
      <x:c r="D11" s="37" t="str">
        <x:v>測試與驗證</x:v>
      </x:c>
      <x:c r="E11" s="37" t="str">
        <x:v>資訊、數位轉型、各業務部門</x:v>
      </x:c>
      <x:c r="F11" s="37" t="str">
        <x:v>AI 平台負責人、流程主管、產品經理</x:v>
      </x:c>
      <x:c r="G11" s="37" t="str">
        <x:v>現行作法對「每次模型、提示或工具變更後重跑黃金任務集」多靠人工彙整、個人經驗或事後處理，難以一致追蹤，造成決策延遲與重工。</x:v>
      </x:c>
      <x:c r="H11" s="37" t="str">
        <x:v>資料／事件接入；每次模型、提示或工具變更後重跑黃金任務集；證據與信心呈現；例外分流與人工覆核；避免版本升級造成能力退化成效追蹤；完整稽核軌跡</x:v>
      </x:c>
      <x:c r="I11" s="37" t="str">
        <x:v>預測與情境模擬；多目標最佳化；不確定性呈現；專門模型焦點：每次模型、提示或工具變更後重跑黃金任務集</x:v>
      </x:c>
      <x:c r="J11" s="37" t="str">
        <x:v>定期掃描資料與外部訊號，提出優先序與建議；經核准後同步任務與更新來源系統</x:v>
      </x:c>
      <x:c r="K11" s="37" t="str">
        <x:v>L4 有護欄自主執行</x:v>
      </x:c>
      <x:c r="L11" s="37" t="str">
        <x:v>Agent 定義、任務軌跡、工具呼叫、權限、成本、評測結果</x:v>
      </x:c>
      <x:c r="M11" s="37" t="str">
        <x:v>JVision Agent OS、IAM、SIEM、ERP、CRM、MCP Server</x:v>
      </x:c>
      <x:c r="N11" s="37" t="str">
        <x:v>一家製造企業同時運行 30 個數位員工，需要安全地建立、測試、派工、監督與持續改善。Demo：匯入一組去識別資料，觸發「每次模型、提示或工具變更後重跑黃金任務集」，由系統提出證據、建議與下一步；使用者核准後回寫任務，最後呈現「避免版本升級造成能力退化」前後差異。</x:v>
      </x:c>
      <x:c r="O11" s="37" t="str">
        <x:v>低</x:v>
      </x:c>
      <x:c r="P11" s="37" t="str">
        <x:v>鄰近既有能力：原有 AI Agent 展示多聚焦單一業務任務，未必涵蓋 Agent 全生命週期平台治理。本 App 的獨立邊界是「每次模型、提示或工具變更後重跑黃金任務集」，主要產出為「避免版本升級造成能力退化」，不是一般登錄、查詢或看板。</x:v>
      </x:c>
      <x:c r="Q11" s="38" t="n">
        <x:v>5</x:v>
      </x:c>
      <x:c r="R11" s="38" t="n">
        <x:v>4</x:v>
      </x:c>
      <x:c r="S11" s="38" t="str">
        <x:v>P0</x:v>
      </x:c>
      <x:c r="T11" s="38" t="n">
        <x:v>8</x:v>
      </x:c>
      <x:c r="U11" s="39" t="str">
        <x:v>Wave 1 平台底座／旗艦</x:v>
      </x:c>
    </x:row>
    <x:row r="12" ht="86" customHeight="1">
      <x:c r="A12" s="36" t="str">
        <x:v>JV-008</x:v>
      </x:c>
      <x:c r="B12" s="37" t="str">
        <x:v>Agent 紅隊挑戰器</x:v>
      </x:c>
      <x:c r="C12" s="37" t="str">
        <x:v>AI Agent／Agentic AI</x:v>
      </x:c>
      <x:c r="D12" s="37" t="str">
        <x:v>測試與驗證</x:v>
      </x:c>
      <x:c r="E12" s="37" t="str">
        <x:v>資訊、數位轉型、各業務部門</x:v>
      </x:c>
      <x:c r="F12" s="37" t="str">
        <x:v>AI 平台負責人、流程主管、產品經理</x:v>
      </x:c>
      <x:c r="G12" s="37" t="str">
        <x:v>現行作法對「自動生成越權、誘導、注入與社交工程攻擊」多靠人工彙整、個人經驗或事後處理，難以一致追蹤，造成決策延遲與重工。</x:v>
      </x:c>
      <x:c r="H12" s="37" t="str">
        <x:v>資料／事件接入；自動生成越權、誘導、注入與社交工程攻擊；證據與信心呈現；例外分流與人工覆核；量化安全弱點成效追蹤；完整稽核軌跡</x:v>
      </x:c>
      <x:c r="I12" s="37" t="str">
        <x:v>跨文件／跨系統比對；圖譜推理；差異與缺口生成；專門模型焦點：自動生成越權、誘導、注入與社交工程攻擊</x:v>
      </x:c>
      <x:c r="J12" s="37" t="str">
        <x:v>以人機協作模式先產生草案與證據包，接受修改後執行核准步驟並建立完整稽核軌跡</x:v>
      </x:c>
      <x:c r="K12" s="37" t="str">
        <x:v>L4 有護欄自主執行</x:v>
      </x:c>
      <x:c r="L12" s="37" t="str">
        <x:v>Agent 定義、任務軌跡、工具呼叫、權限、成本、評測結果</x:v>
      </x:c>
      <x:c r="M12" s="37" t="str">
        <x:v>JVision Agent OS、IAM、SIEM、ERP、CRM、MCP Server</x:v>
      </x:c>
      <x:c r="N12" s="37" t="str">
        <x:v>一家製造企業同時運行 30 個數位員工，需要安全地建立、測試、派工、監督與持續改善。Demo：匯入一組去識別資料，觸發「自動生成越權、誘導、注入與社交工程攻擊」，由系統提出證據、建議與下一步；使用者核准後回寫任務，最後呈現「量化安全弱點」前後差異。</x:v>
      </x:c>
      <x:c r="O12" s="37" t="str">
        <x:v>低</x:v>
      </x:c>
      <x:c r="P12" s="37" t="str">
        <x:v>鄰近既有能力：原有 AI Agent 展示多聚焦單一業務任務，未必涵蓋 Agent 全生命週期平台治理。本 App 的獨立邊界是「自動生成越權、誘導、注入與社交工程攻擊」，主要產出為「量化安全弱點」，不是一般登錄、查詢或看板。</x:v>
      </x:c>
      <x:c r="Q12" s="38" t="n">
        <x:v>5</x:v>
      </x:c>
      <x:c r="R12" s="38" t="n">
        <x:v>4</x:v>
      </x:c>
      <x:c r="S12" s="38" t="str">
        <x:v>P0</x:v>
      </x:c>
      <x:c r="T12" s="38" t="n">
        <x:v>8</x:v>
      </x:c>
      <x:c r="U12" s="39" t="str">
        <x:v>Wave 1 平台底座／旗艦</x:v>
      </x:c>
    </x:row>
    <x:row r="13" ht="86" customHeight="1">
      <x:c r="A13" s="36" t="str">
        <x:v>JV-009</x:v>
      </x:c>
      <x:c r="B13" s="37" t="str">
        <x:v>Agent 邊界條件驗證器</x:v>
      </x:c>
      <x:c r="C13" s="37" t="str">
        <x:v>AI Agent／Agentic AI</x:v>
      </x:c>
      <x:c r="D13" s="37" t="str">
        <x:v>測試與驗證</x:v>
      </x:c>
      <x:c r="E13" s="37" t="str">
        <x:v>資訊、數位轉型、各業務部門</x:v>
      </x:c>
      <x:c r="F13" s="37" t="str">
        <x:v>AI 平台負責人、流程主管、產品經理</x:v>
      </x:c>
      <x:c r="G13" s="37" t="str">
        <x:v>現行作法對「測試空值、矛盾資料、逾時與部分失敗」多靠人工彙整、個人經驗或事後處理，難以一致追蹤，造成決策延遲與重工。</x:v>
      </x:c>
      <x:c r="H13" s="37" t="str">
        <x:v>資料／事件接入；測試空值、矛盾資料、逾時與部分失敗；證據與信心呈現；例外分流與人工覆核；提高例外韌性成效追蹤；完整稽核軌跡</x:v>
      </x:c>
      <x:c r="I13" s="37" t="str">
        <x:v>異常偵測；因果線索分析；可解釋的建議排序；專門模型焦點：測試空值、矛盾資料、逾時與部分失敗</x:v>
      </x:c>
      <x:c r="J13" s="37" t="str">
        <x:v>依目標自主規劃步驟、呼叫核准工具、遇到例外改走人工佇列，完成後驗證結果並回報</x:v>
      </x:c>
      <x:c r="K13" s="37" t="str">
        <x:v>L3 可執行／關鍵核准</x:v>
      </x:c>
      <x:c r="L13" s="37" t="str">
        <x:v>Agent 定義、任務軌跡、工具呼叫、權限、成本、評測結果</x:v>
      </x:c>
      <x:c r="M13" s="37" t="str">
        <x:v>JVision Agent OS、IAM、SIEM、ERP、CRM、MCP Server</x:v>
      </x:c>
      <x:c r="N13" s="37" t="str">
        <x:v>一家製造企業同時運行 30 個數位員工，需要安全地建立、測試、派工、監督與持續改善。Demo：匯入一組去識別資料，觸發「測試空值、矛盾資料、逾時與部分失敗」，由系統提出證據、建議與下一步；使用者核准後回寫任務，最後呈現「提高例外韌性」前後差異。</x:v>
      </x:c>
      <x:c r="O13" s="37" t="str">
        <x:v>低</x:v>
      </x:c>
      <x:c r="P13" s="37" t="str">
        <x:v>鄰近既有能力：原有 AI Agent 展示多聚焦單一業務任務，未必涵蓋 Agent 全生命週期平台治理。本 App 的獨立邊界是「測試空值、矛盾資料、逾時與部分失敗」，主要產出為「提高例外韌性」，不是一般登錄、查詢或看板。</x:v>
      </x:c>
      <x:c r="Q13" s="38" t="n">
        <x:v>5</x:v>
      </x:c>
      <x:c r="R13" s="38" t="n">
        <x:v>4</x:v>
      </x:c>
      <x:c r="S13" s="38" t="str">
        <x:v>P1</x:v>
      </x:c>
      <x:c r="T13" s="38" t="n">
        <x:v>9</x:v>
      </x:c>
      <x:c r="U13" s="39" t="str">
        <x:v>Wave 2 高價值套件</x:v>
      </x:c>
    </x:row>
    <x:row r="14" ht="86" customHeight="1">
      <x:c r="A14" s="36" t="str">
        <x:v>JV-010</x:v>
      </x:c>
      <x:c r="B14" s="37" t="str">
        <x:v>Agent 合成使用者工廠</x:v>
      </x:c>
      <x:c r="C14" s="37" t="str">
        <x:v>AI Agent／Agentic AI</x:v>
      </x:c>
      <x:c r="D14" s="37" t="str">
        <x:v>測試與驗證</x:v>
      </x:c>
      <x:c r="E14" s="37" t="str">
        <x:v>資訊、數位轉型、各業務部門</x:v>
      </x:c>
      <x:c r="F14" s="37" t="str">
        <x:v>AI 平台負責人、流程主管、產品經理</x:v>
      </x:c>
      <x:c r="G14" s="37" t="str">
        <x:v>現行作法對「建立不同角色、語氣與行為的模擬使用者」多靠人工彙整、個人經驗或事後處理，難以一致追蹤，造成決策延遲與重工。</x:v>
      </x:c>
      <x:c r="H14" s="37" t="str">
        <x:v>資料／事件接入；建立不同角色、語氣與行為的模擬使用者；證據與信心呈現；例外分流與人工覆核；擴大可重複驗收覆蓋率成效追蹤；完整稽核軌跡</x:v>
      </x:c>
      <x:c r="I14" s="37" t="str">
        <x:v>RAG 檢索與來源引用；規則＋模型混合判斷；矛盾檢查；專門模型焦點：建立不同角色、語氣與行為的模擬使用者</x:v>
      </x:c>
      <x:c r="J14" s="37" t="str">
        <x:v>與多個專業 Agent 協作拆解任務，保留交接證據、逾時升級並在失敗時安全回滾</x:v>
      </x:c>
      <x:c r="K14" s="37" t="str">
        <x:v>L2 建議／需核准</x:v>
      </x:c>
      <x:c r="L14" s="37" t="str">
        <x:v>Agent 定義、任務軌跡、工具呼叫、權限、成本、評測結果</x:v>
      </x:c>
      <x:c r="M14" s="37" t="str">
        <x:v>JVision Agent OS、IAM、SIEM、ERP、CRM、MCP Server</x:v>
      </x:c>
      <x:c r="N14" s="37" t="str">
        <x:v>一家製造企業同時運行 30 個數位員工，需要安全地建立、測試、派工、監督與持續改善。Demo：匯入一組去識別資料，觸發「建立不同角色、語氣與行為的模擬使用者」，由系統提出證據、建議與下一步；使用者核准後回寫任務，最後呈現「擴大可重複驗收覆蓋率」前後差異。</x:v>
      </x:c>
      <x:c r="O14" s="37" t="str">
        <x:v>中低</x:v>
      </x:c>
      <x:c r="P14" s="37" t="str">
        <x:v>鄰近既有能力：原有 AI Agent 展示多聚焦單一業務任務，未必涵蓋 Agent 全生命週期平台治理。本 App 的獨立邊界是「建立不同角色、語氣與行為的模擬使用者」，主要產出為「擴大可重複驗收覆蓋率」，不是一般登錄、查詢或看板。</x:v>
      </x:c>
      <x:c r="Q14" s="38" t="n">
        <x:v>4</x:v>
      </x:c>
      <x:c r="R14" s="38" t="n">
        <x:v>5</x:v>
      </x:c>
      <x:c r="S14" s="38" t="str">
        <x:v>P0</x:v>
      </x:c>
      <x:c r="T14" s="38" t="n">
        <x:v>10</x:v>
      </x:c>
      <x:c r="U14" s="39" t="str">
        <x:v>Wave 1 平台底座／旗艦</x:v>
      </x:c>
    </x:row>
    <x:row r="15" ht="86" customHeight="1">
      <x:c r="A15" s="36" t="str">
        <x:v>JV-011</x:v>
      </x:c>
      <x:c r="B15" s="37" t="str">
        <x:v>Agent 任務基準管理台</x:v>
      </x:c>
      <x:c r="C15" s="37" t="str">
        <x:v>AI Agent／Agentic AI</x:v>
      </x:c>
      <x:c r="D15" s="37" t="str">
        <x:v>評估與基準</x:v>
      </x:c>
      <x:c r="E15" s="37" t="str">
        <x:v>資訊、數位轉型、各業務部門</x:v>
      </x:c>
      <x:c r="F15" s="37" t="str">
        <x:v>AI 平台負責人、流程主管、產品經理</x:v>
      </x:c>
      <x:c r="G15" s="37" t="str">
        <x:v>現行作法對「管理跨版本可比較的任務、資料集與評分規則」多靠人工彙整、個人經驗或事後處理，難以一致追蹤，造成決策延遲與重工。</x:v>
      </x:c>
      <x:c r="H15" s="37" t="str">
        <x:v>資料／事件接入；管理跨版本可比較的任務、資料集與評分規則；證據與信心呈現；例外分流與人工覆核；建立產品級評測基線成效追蹤；完整稽核軌跡</x:v>
      </x:c>
      <x:c r="I15" s="37" t="str">
        <x:v>語意分類與實體抽取；風險／信心評分；具證據的生成與摘要；專門模型焦點：管理跨版本可比較的任務、資料集與評分規則</x:v>
      </x:c>
      <x:c r="J15" s="37" t="str">
        <x:v>持續監測事件，達門檻後建立案件、蒐集證據、指派責任並追蹤結案；高風險動作需人工核准</x:v>
      </x:c>
      <x:c r="K15" s="37" t="str">
        <x:v>L3 可執行／關鍵核准</x:v>
      </x:c>
      <x:c r="L15" s="37" t="str">
        <x:v>Agent 定義、任務軌跡、工具呼叫、權限、成本、評測結果</x:v>
      </x:c>
      <x:c r="M15" s="37" t="str">
        <x:v>JVision Agent OS、IAM、SIEM、ERP、CRM、MCP Server</x:v>
      </x:c>
      <x:c r="N15" s="37" t="str">
        <x:v>一家製造企業同時運行 30 個數位員工，需要安全地建立、測試、派工、監督與持續改善。Demo：匯入一組去識別資料，觸發「管理跨版本可比較的任務、資料集與評分規則」，由系統提出證據、建議與下一步；使用者核准後回寫任務，最後呈現「建立產品級評測基線」前後差異。</x:v>
      </x:c>
      <x:c r="O15" s="37" t="str">
        <x:v>中低</x:v>
      </x:c>
      <x:c r="P15" s="37" t="str">
        <x:v>鄰近既有能力：原有 AI Agent 展示多聚焦單一業務任務，未必涵蓋 Agent 全生命週期平台治理。本 App 的獨立邊界是「管理跨版本可比較的任務、資料集與評分規則」，主要產出為「建立產品級評測基線」，不是一般登錄、查詢或看板。</x:v>
      </x:c>
      <x:c r="Q15" s="38" t="n">
        <x:v>5</x:v>
      </x:c>
      <x:c r="R15" s="38" t="n">
        <x:v>3</x:v>
      </x:c>
      <x:c r="S15" s="38" t="str">
        <x:v>P0</x:v>
      </x:c>
      <x:c r="T15" s="38" t="n">
        <x:v>6</x:v>
      </x:c>
      <x:c r="U15" s="39" t="str">
        <x:v>Wave 1 平台底座／旗艦</x:v>
      </x:c>
    </x:row>
    <x:row r="16" ht="86" customHeight="1">
      <x:c r="A16" s="36" t="str">
        <x:v>JV-012</x:v>
      </x:c>
      <x:c r="B16" s="37" t="str">
        <x:v>Agent 品質裁判台</x:v>
      </x:c>
      <x:c r="C16" s="37" t="str">
        <x:v>AI Agent／Agentic AI</x:v>
      </x:c>
      <x:c r="D16" s="37" t="str">
        <x:v>評估與基準</x:v>
      </x:c>
      <x:c r="E16" s="37" t="str">
        <x:v>資訊、數位轉型、各業務部門</x:v>
      </x:c>
      <x:c r="F16" s="37" t="str">
        <x:v>AI 平台負責人、流程主管、產品經理</x:v>
      </x:c>
      <x:c r="G16" s="37" t="str">
        <x:v>現行作法對「以規則、模型與人工複核判定答案正確性」多靠人工彙整、個人經驗或事後處理，難以一致追蹤，造成決策延遲與重工。</x:v>
      </x:c>
      <x:c r="H16" s="37" t="str">
        <x:v>資料／事件接入；以規則、模型與人工複核判定答案正確性；證據與信心呈現；例外分流與人工覆核；降低主觀驗收差異成效追蹤；完整稽核軌跡</x:v>
      </x:c>
      <x:c r="I16" s="37" t="str">
        <x:v>預測與情境模擬；多目標最佳化；不確定性呈現；專門模型焦點：以規則、模型與人工複核判定答案正確性</x:v>
      </x:c>
      <x:c r="J16" s="37" t="str">
        <x:v>定期掃描資料與外部訊號，提出優先序與建議；經核准後同步任務與更新來源系統</x:v>
      </x:c>
      <x:c r="K16" s="37" t="str">
        <x:v>L4 有護欄自主執行</x:v>
      </x:c>
      <x:c r="L16" s="37" t="str">
        <x:v>Agent 定義、任務軌跡、工具呼叫、權限、成本、評測結果</x:v>
      </x:c>
      <x:c r="M16" s="37" t="str">
        <x:v>JVision Agent OS、IAM、SIEM、ERP、CRM、MCP Server</x:v>
      </x:c>
      <x:c r="N16" s="37" t="str">
        <x:v>一家製造企業同時運行 30 個數位員工，需要安全地建立、測試、派工、監督與持續改善。Demo：匯入一組去識別資料，觸發「以規則、模型與人工複核判定答案正確性」，由系統提出證據、建議與下一步；使用者核准後回寫任務，最後呈現「降低主觀驗收差異」前後差異。</x:v>
      </x:c>
      <x:c r="O16" s="37" t="str">
        <x:v>低</x:v>
      </x:c>
      <x:c r="P16" s="37" t="str">
        <x:v>鄰近既有能力：原有 AI Agent 展示多聚焦單一業務任務，未必涵蓋 Agent 全生命週期平台治理。本 App 的獨立邊界是「以規則、模型與人工複核判定答案正確性」，主要產出為「降低主觀驗收差異」，不是一般登錄、查詢或看板。</x:v>
      </x:c>
      <x:c r="Q16" s="38" t="n">
        <x:v>5</x:v>
      </x:c>
      <x:c r="R16" s="38" t="n">
        <x:v>4</x:v>
      </x:c>
      <x:c r="S16" s="38" t="str">
        <x:v>P0</x:v>
      </x:c>
      <x:c r="T16" s="38" t="n">
        <x:v>8</x:v>
      </x:c>
      <x:c r="U16" s="39" t="str">
        <x:v>Wave 1 平台底座／旗艦</x:v>
      </x:c>
    </x:row>
    <x:row r="17" ht="86" customHeight="1">
      <x:c r="A17" s="36" t="str">
        <x:v>JV-013</x:v>
      </x:c>
      <x:c r="B17" s="37" t="str">
        <x:v>Agent 幻覺舉證器</x:v>
      </x:c>
      <x:c r="C17" s="37" t="str">
        <x:v>AI Agent／Agentic AI</x:v>
      </x:c>
      <x:c r="D17" s="37" t="str">
        <x:v>評估與基準</x:v>
      </x:c>
      <x:c r="E17" s="37" t="str">
        <x:v>資訊、數位轉型、各業務部門</x:v>
      </x:c>
      <x:c r="F17" s="37" t="str">
        <x:v>AI 平台負責人、流程主管、產品經理</x:v>
      </x:c>
      <x:c r="G17" s="37" t="str">
        <x:v>現行作法對「逐句對應資料來源並標示無證據陳述」多靠人工彙整、個人經驗或事後處理，難以一致追蹤，造成決策延遲與重工。</x:v>
      </x:c>
      <x:c r="H17" s="37" t="str">
        <x:v>資料／事件接入；逐句對應資料來源並標示無證據陳述；證據與信心呈現；例外分流與人工覆核；使輸出可查證成效追蹤；完整稽核軌跡</x:v>
      </x:c>
      <x:c r="I17" s="37" t="str">
        <x:v>跨文件／跨系統比對；圖譜推理；差異與缺口生成；專門模型焦點：逐句對應資料來源並標示無證據陳述</x:v>
      </x:c>
      <x:c r="J17" s="37" t="str">
        <x:v>以人機協作模式先產生草案與證據包，接受修改後執行核准步驟並建立完整稽核軌跡</x:v>
      </x:c>
      <x:c r="K17" s="37" t="str">
        <x:v>L4 有護欄自主執行</x:v>
      </x:c>
      <x:c r="L17" s="37" t="str">
        <x:v>Agent 定義、任務軌跡、工具呼叫、權限、成本、評測結果</x:v>
      </x:c>
      <x:c r="M17" s="37" t="str">
        <x:v>JVision Agent OS、IAM、SIEM、ERP、CRM、MCP Server</x:v>
      </x:c>
      <x:c r="N17" s="37" t="str">
        <x:v>一家製造企業同時運行 30 個數位員工，需要安全地建立、測試、派工、監督與持續改善。Demo：匯入一組去識別資料，觸發「逐句對應資料來源並標示無證據陳述」，由系統提出證據、建議與下一步；使用者核准後回寫任務，最後呈現「使輸出可查證」前後差異。</x:v>
      </x:c>
      <x:c r="O17" s="37" t="str">
        <x:v>低</x:v>
      </x:c>
      <x:c r="P17" s="37" t="str">
        <x:v>鄰近既有能力：原有 AI Agent 展示多聚焦單一業務任務，未必涵蓋 Agent 全生命週期平台治理。本 App 的獨立邊界是「逐句對應資料來源並標示無證據陳述」，主要產出為「使輸出可查證」，不是一般登錄、查詢或看板。</x:v>
      </x:c>
      <x:c r="Q17" s="38" t="n">
        <x:v>5</x:v>
      </x:c>
      <x:c r="R17" s="38" t="n">
        <x:v>4</x:v>
      </x:c>
      <x:c r="S17" s="38" t="str">
        <x:v>P0</x:v>
      </x:c>
      <x:c r="T17" s="38" t="n">
        <x:v>8</x:v>
      </x:c>
      <x:c r="U17" s="39" t="str">
        <x:v>Wave 1 平台底座／旗艦</x:v>
      </x:c>
    </x:row>
    <x:row r="18" ht="86" customHeight="1">
      <x:c r="A18" s="36" t="str">
        <x:v>JV-014</x:v>
      </x:c>
      <x:c r="B18" s="37" t="str">
        <x:v>Agent 商業 KPI 歸因器</x:v>
      </x:c>
      <x:c r="C18" s="37" t="str">
        <x:v>AI Agent／Agentic AI</x:v>
      </x:c>
      <x:c r="D18" s="37" t="str">
        <x:v>評估與基準</x:v>
      </x:c>
      <x:c r="E18" s="37" t="str">
        <x:v>資訊、數位轉型、各業務部門</x:v>
      </x:c>
      <x:c r="F18" s="37" t="str">
        <x:v>AI 平台負責人、流程主管、產品經理</x:v>
      </x:c>
      <x:c r="G18" s="37" t="str">
        <x:v>現行作法對「連結 Agent 行為與節時、轉換、損失避免指標」多靠人工彙整、個人經驗或事後處理，難以一致追蹤，造成決策延遲與重工。</x:v>
      </x:c>
      <x:c r="H18" s="37" t="str">
        <x:v>資料／事件接入；連結 Agent 行為與節時、轉換、損失避免指標；證據與信心呈現；例外分流與人工覆核；證明投資回報成效追蹤；完整稽核軌跡</x:v>
      </x:c>
      <x:c r="I18" s="37" t="str">
        <x:v>異常偵測；因果線索分析；可解釋的建議排序；專門模型焦點：連結 Agent 行為與節時、轉換、損失避免指標</x:v>
      </x:c>
      <x:c r="J18" s="37" t="str">
        <x:v>依目標自主規劃步驟、呼叫核准工具、遇到例外改走人工佇列，完成後驗證結果並回報</x:v>
      </x:c>
      <x:c r="K18" s="37" t="str">
        <x:v>L4 有護欄自主執行</x:v>
      </x:c>
      <x:c r="L18" s="37" t="str">
        <x:v>Agent 定義、任務軌跡、工具呼叫、權限、成本、評測結果</x:v>
      </x:c>
      <x:c r="M18" s="37" t="str">
        <x:v>JVision Agent OS、IAM、SIEM、ERP、CRM、MCP Server</x:v>
      </x:c>
      <x:c r="N18" s="37" t="str">
        <x:v>一家製造企業同時運行 30 個數位員工，需要安全地建立、測試、派工、監督與持續改善。Demo：匯入一組去識別資料，觸發「連結 Agent 行為與節時、轉換、損失避免指標」，由系統提出證據、建議與下一步；使用者核准後回寫任務，最後呈現「證明投資回報」前後差異。</x:v>
      </x:c>
      <x:c r="O18" s="37" t="str">
        <x:v>低</x:v>
      </x:c>
      <x:c r="P18" s="37" t="str">
        <x:v>鄰近既有能力：原有 AI Agent 展示多聚焦單一業務任務，未必涵蓋 Agent 全生命週期平台治理。本 App 的獨立邊界是「連結 Agent 行為與節時、轉換、損失避免指標」，主要產出為「證明投資回報」，不是一般登錄、查詢或看板。</x:v>
      </x:c>
      <x:c r="Q18" s="38" t="n">
        <x:v>5</x:v>
      </x:c>
      <x:c r="R18" s="38" t="n">
        <x:v>4</x:v>
      </x:c>
      <x:c r="S18" s="38" t="str">
        <x:v>P0</x:v>
      </x:c>
      <x:c r="T18" s="38" t="n">
        <x:v>8</x:v>
      </x:c>
      <x:c r="U18" s="39" t="str">
        <x:v>Wave 1 平台底座／旗艦</x:v>
      </x:c>
    </x:row>
    <x:row r="19" ht="86" customHeight="1">
      <x:c r="A19" s="36" t="str">
        <x:v>JV-015</x:v>
      </x:c>
      <x:c r="B19" s="37" t="str">
        <x:v>Agent 多模型競技場</x:v>
      </x:c>
      <x:c r="C19" s="37" t="str">
        <x:v>AI Agent／Agentic AI</x:v>
      </x:c>
      <x:c r="D19" s="37" t="str">
        <x:v>評估與基準</x:v>
      </x:c>
      <x:c r="E19" s="37" t="str">
        <x:v>資訊、數位轉型、各業務部門</x:v>
      </x:c>
      <x:c r="F19" s="37" t="str">
        <x:v>AI 平台負責人、流程主管、產品經理</x:v>
      </x:c>
      <x:c r="G19" s="37" t="str">
        <x:v>現行作法對「同一任務對比模型品質、延遲、成本與穩定性」多靠人工彙整、個人經驗或事後處理，難以一致追蹤，造成決策延遲與重工。</x:v>
      </x:c>
      <x:c r="H19" s="37" t="str">
        <x:v>資料／事件接入；同一任務對比模型品質、延遲、成本與穩定性；證據與信心呈現；例外分流與人工覆核；選出最佳模型組合成效追蹤；完整稽核軌跡</x:v>
      </x:c>
      <x:c r="I19" s="37" t="str">
        <x:v>RAG 檢索與來源引用；規則＋模型混合判斷；矛盾檢查；專門模型焦點：同一任務對比模型品質、延遲、成本與穩定性</x:v>
      </x:c>
      <x:c r="J19" s="37" t="str">
        <x:v>與多個專業 Agent 協作拆解任務，保留交接證據、逾時升級並在失敗時安全回滾</x:v>
      </x:c>
      <x:c r="K19" s="37" t="str">
        <x:v>L2 建議／需核准</x:v>
      </x:c>
      <x:c r="L19" s="37" t="str">
        <x:v>Agent 定義、任務軌跡、工具呼叫、權限、成本、評測結果</x:v>
      </x:c>
      <x:c r="M19" s="37" t="str">
        <x:v>JVision Agent OS、IAM、SIEM、ERP、CRM、MCP Server</x:v>
      </x:c>
      <x:c r="N19" s="37" t="str">
        <x:v>一家製造企業同時運行 30 個數位員工，需要安全地建立、測試、派工、監督與持續改善。Demo：匯入一組去識別資料，觸發「同一任務對比模型品質、延遲、成本與穩定性」，由系統提出證據、建議與下一步；使用者核准後回寫任務，最後呈現「選出最佳模型組合」前後差異。</x:v>
      </x:c>
      <x:c r="O19" s="37" t="str">
        <x:v>中低</x:v>
      </x:c>
      <x:c r="P19" s="37" t="str">
        <x:v>鄰近既有能力：原有 AI Agent 展示多聚焦單一業務任務，未必涵蓋 Agent 全生命週期平台治理。本 App 的獨立邊界是「同一任務對比模型品質、延遲、成本與穩定性」，主要產出為「選出最佳模型組合」，不是一般登錄、查詢或看板。</x:v>
      </x:c>
      <x:c r="Q19" s="38" t="n">
        <x:v>5</x:v>
      </x:c>
      <x:c r="R19" s="38" t="n">
        <x:v>5</x:v>
      </x:c>
      <x:c r="S19" s="38" t="str">
        <x:v>P0</x:v>
      </x:c>
      <x:c r="T19" s="38" t="n">
        <x:v>10</x:v>
      </x:c>
      <x:c r="U19" s="39" t="str">
        <x:v>Wave 1 平台底座／旗艦</x:v>
      </x:c>
    </x:row>
    <x:row r="20" ht="86" customHeight="1">
      <x:c r="A20" s="36" t="str">
        <x:v>JV-016</x:v>
      </x:c>
      <x:c r="B20" s="37" t="str">
        <x:v>多 Agent 任務指揮台</x:v>
      </x:c>
      <x:c r="C20" s="37" t="str">
        <x:v>AI Agent／Agentic AI</x:v>
      </x:c>
      <x:c r="D20" s="37" t="str">
        <x:v>執行與編排</x:v>
      </x:c>
      <x:c r="E20" s="37" t="str">
        <x:v>資訊、數位轉型、各業務部門</x:v>
      </x:c>
      <x:c r="F20" s="37" t="str">
        <x:v>AI 平台負責人、流程主管、產品經理</x:v>
      </x:c>
      <x:c r="G20" s="37" t="str">
        <x:v>現行作法對「依專長、負載與風險動態分派子任務」多靠人工彙整、個人經驗或事後處理，難以一致追蹤，造成決策延遲與重工。</x:v>
      </x:c>
      <x:c r="H20" s="37" t="str">
        <x:v>資料／事件接入；依專長、負載與風險動態分派子任務；證據與信心呈現；例外分流與人工覆核；提升多 Agent 協作品質成效追蹤；完整稽核軌跡</x:v>
      </x:c>
      <x:c r="I20" s="37" t="str">
        <x:v>語意分類與實體抽取；風險／信心評分；具證據的生成與摘要；專門模型焦點：依專長、負載與風險動態分派子任務</x:v>
      </x:c>
      <x:c r="J20" s="37" t="str">
        <x:v>持續監測事件，達門檻後建立案件、蒐集證據、指派責任並追蹤結案；高風險動作需人工核准</x:v>
      </x:c>
      <x:c r="K20" s="37" t="str">
        <x:v>L3 可執行／關鍵核准</x:v>
      </x:c>
      <x:c r="L20" s="37" t="str">
        <x:v>Agent 定義、任務軌跡、工具呼叫、權限、成本、評測結果</x:v>
      </x:c>
      <x:c r="M20" s="37" t="str">
        <x:v>JVision Agent OS、IAM、SIEM、ERP、CRM、MCP Server</x:v>
      </x:c>
      <x:c r="N20" s="37" t="str">
        <x:v>一家製造企業同時運行 30 個數位員工，需要安全地建立、測試、派工、監督與持續改善。Demo：匯入一組去識別資料，觸發「依專長、負載與風險動態分派子任務」，由系統提出證據、建議與下一步；使用者核准後回寫任務，最後呈現「提升多 Agent 協作品質」前後差異。</x:v>
      </x:c>
      <x:c r="O20" s="37" t="str">
        <x:v>中低</x:v>
      </x:c>
      <x:c r="P20" s="37" t="str">
        <x:v>鄰近既有能力：原有 AI Agent 展示多聚焦單一業務任務，未必涵蓋 Agent 全生命週期平台治理。本 App 的獨立邊界是「依專長、負載與風險動態分派子任務」，主要產出為「提升多 Agent 協作品質」，不是一般登錄、查詢或看板。</x:v>
      </x:c>
      <x:c r="Q20" s="38" t="n">
        <x:v>5</x:v>
      </x:c>
      <x:c r="R20" s="38" t="n">
        <x:v>3</x:v>
      </x:c>
      <x:c r="S20" s="38" t="str">
        <x:v>P0</x:v>
      </x:c>
      <x:c r="T20" s="38" t="n">
        <x:v>6</x:v>
      </x:c>
      <x:c r="U20" s="39" t="str">
        <x:v>Wave 1 平台底座／旗艦</x:v>
      </x:c>
    </x:row>
    <x:row r="21" ht="86" customHeight="1">
      <x:c r="A21" s="36" t="str">
        <x:v>JV-017</x:v>
      </x:c>
      <x:c r="B21" s="37" t="str">
        <x:v>Agent 動態路由器</x:v>
      </x:c>
      <x:c r="C21" s="37" t="str">
        <x:v>AI Agent／Agentic AI</x:v>
      </x:c>
      <x:c r="D21" s="37" t="str">
        <x:v>執行與編排</x:v>
      </x:c>
      <x:c r="E21" s="37" t="str">
        <x:v>資訊、數位轉型、各業務部門</x:v>
      </x:c>
      <x:c r="F21" s="37" t="str">
        <x:v>AI 平台負責人、流程主管、產品經理</x:v>
      </x:c>
      <x:c r="G21" s="37" t="str">
        <x:v>現行作法對「按意圖、資料敏感度與 SLA 選擇 Agent」多靠人工彙整、個人經驗或事後處理，難以一致追蹤，造成決策延遲與重工。</x:v>
      </x:c>
      <x:c r="H21" s="37" t="str">
        <x:v>資料／事件接入；按意圖、資料敏感度與 SLA 選擇 Agent；證據與信心呈現；例外分流與人工覆核；降低錯派與延遲成效追蹤；完整稽核軌跡</x:v>
      </x:c>
      <x:c r="I21" s="37" t="str">
        <x:v>預測與情境模擬；多目標最佳化；不確定性呈現；專門模型焦點：按意圖、資料敏感度與 SLA 選擇 Agent</x:v>
      </x:c>
      <x:c r="J21" s="37" t="str">
        <x:v>定期掃描資料與外部訊號，提出優先序與建議；經核准後同步任務與更新來源系統</x:v>
      </x:c>
      <x:c r="K21" s="37" t="str">
        <x:v>L3 可執行／關鍵核准</x:v>
      </x:c>
      <x:c r="L21" s="37" t="str">
        <x:v>Agent 定義、任務軌跡、工具呼叫、權限、成本、評測結果</x:v>
      </x:c>
      <x:c r="M21" s="37" t="str">
        <x:v>JVision Agent OS、IAM、SIEM、ERP、CRM、MCP Server</x:v>
      </x:c>
      <x:c r="N21" s="37" t="str">
        <x:v>一家製造企業同時運行 30 個數位員工，需要安全地建立、測試、派工、監督與持續改善。Demo：匯入一組去識別資料，觸發「按意圖、資料敏感度與 SLA 選擇 Agent」，由系統提出證據、建議與下一步；使用者核准後回寫任務，最後呈現「降低錯派與延遲」前後差異。</x:v>
      </x:c>
      <x:c r="O21" s="37" t="str">
        <x:v>低</x:v>
      </x:c>
      <x:c r="P21" s="37" t="str">
        <x:v>鄰近既有能力：原有 AI Agent 展示多聚焦單一業務任務，未必涵蓋 Agent 全生命週期平台治理。本 App 的獨立邊界是「按意圖、資料敏感度與 SLA 選擇 Agent」，主要產出為「降低錯派與延遲」，不是一般登錄、查詢或看板。</x:v>
      </x:c>
      <x:c r="Q21" s="38" t="n">
        <x:v>5</x:v>
      </x:c>
      <x:c r="R21" s="38" t="n">
        <x:v>4</x:v>
      </x:c>
      <x:c r="S21" s="38" t="str">
        <x:v>P1</x:v>
      </x:c>
      <x:c r="T21" s="38" t="n">
        <x:v>9</x:v>
      </x:c>
      <x:c r="U21" s="39" t="str">
        <x:v>Wave 2 高價值套件</x:v>
      </x:c>
    </x:row>
    <x:row r="22" ht="86" customHeight="1">
      <x:c r="A22" s="36" t="str">
        <x:v>JV-018</x:v>
      </x:c>
      <x:c r="B22" s="37" t="str">
        <x:v>Agent 交接協定管理器</x:v>
      </x:c>
      <x:c r="C22" s="37" t="str">
        <x:v>AI Agent／Agentic AI</x:v>
      </x:c>
      <x:c r="D22" s="37" t="str">
        <x:v>執行與編排</x:v>
      </x:c>
      <x:c r="E22" s="37" t="str">
        <x:v>資訊、數位轉型、各業務部門</x:v>
      </x:c>
      <x:c r="F22" s="37" t="str">
        <x:v>AI 平台負責人、流程主管、產品經理</x:v>
      </x:c>
      <x:c r="G22" s="37" t="str">
        <x:v>現行作法對「定義 Agent 間交付物、驗收與失敗回退」多靠人工彙整、個人經驗或事後處理，難以一致追蹤，造成決策延遲與重工。</x:v>
      </x:c>
      <x:c r="H22" s="37" t="str">
        <x:v>資料／事件接入；定義 Agent 間交付物、驗收與失敗回退；證據與信心呈現；例外分流與人工覆核；避免協作斷點成效追蹤；完整稽核軌跡</x:v>
      </x:c>
      <x:c r="I22" s="37" t="str">
        <x:v>跨文件／跨系統比對；圖譜推理；差異與缺口生成；專門模型焦點：定義 Agent 間交付物、驗收與失敗回退</x:v>
      </x:c>
      <x:c r="J22" s="37" t="str">
        <x:v>以人機協作模式先產生草案與證據包，接受修改後執行核准步驟並建立完整稽核軌跡</x:v>
      </x:c>
      <x:c r="K22" s="37" t="str">
        <x:v>L4 有護欄自主執行</x:v>
      </x:c>
      <x:c r="L22" s="37" t="str">
        <x:v>Agent 定義、任務軌跡、工具呼叫、權限、成本、評測結果</x:v>
      </x:c>
      <x:c r="M22" s="37" t="str">
        <x:v>JVision Agent OS、IAM、SIEM、ERP、CRM、MCP Server</x:v>
      </x:c>
      <x:c r="N22" s="37" t="str">
        <x:v>一家製造企業同時運行 30 個數位員工，需要安全地建立、測試、派工、監督與持續改善。Demo：匯入一組去識別資料，觸發「定義 Agent 間交付物、驗收與失敗回退」，由系統提出證據、建議與下一步；使用者核准後回寫任務，最後呈現「避免協作斷點」前後差異。</x:v>
      </x:c>
      <x:c r="O22" s="37" t="str">
        <x:v>低</x:v>
      </x:c>
      <x:c r="P22" s="37" t="str">
        <x:v>鄰近既有能力：原有 AI Agent 展示多聚焦單一業務任務，未必涵蓋 Agent 全生命週期平台治理。本 App 的獨立邊界是「定義 Agent 間交付物、驗收與失敗回退」，主要產出為「避免協作斷點」，不是一般登錄、查詢或看板。</x:v>
      </x:c>
      <x:c r="Q22" s="38" t="n">
        <x:v>5</x:v>
      </x:c>
      <x:c r="R22" s="38" t="n">
        <x:v>4</x:v>
      </x:c>
      <x:c r="S22" s="38" t="str">
        <x:v>P0</x:v>
      </x:c>
      <x:c r="T22" s="38" t="n">
        <x:v>8</x:v>
      </x:c>
      <x:c r="U22" s="39" t="str">
        <x:v>Wave 1 平台底座／旗艦</x:v>
      </x:c>
    </x:row>
    <x:row r="23" ht="86" customHeight="1">
      <x:c r="A23" s="36" t="str">
        <x:v>JV-019</x:v>
      </x:c>
      <x:c r="B23" s="37" t="str">
        <x:v>Agent 長任務檢查點</x:v>
      </x:c>
      <x:c r="C23" s="37" t="str">
        <x:v>AI Agent／Agentic AI</x:v>
      </x:c>
      <x:c r="D23" s="37" t="str">
        <x:v>執行與編排</x:v>
      </x:c>
      <x:c r="E23" s="37" t="str">
        <x:v>資訊、數位轉型、各業務部門</x:v>
      </x:c>
      <x:c r="F23" s="37" t="str">
        <x:v>AI 平台負責人、流程主管、產品經理</x:v>
      </x:c>
      <x:c r="G23" s="37" t="str">
        <x:v>現行作法對「保存長流程中間狀態並支援恢復與重試」多靠人工彙整、個人經驗或事後處理，難以一致追蹤，造成決策延遲與重工。</x:v>
      </x:c>
      <x:c r="H23" s="37" t="str">
        <x:v>資料／事件接入；保存長流程中間狀態並支援恢復與重試；證據與信心呈現；例外分流與人工覆核；降低逾時造成的重工成效追蹤；完整稽核軌跡</x:v>
      </x:c>
      <x:c r="I23" s="37" t="str">
        <x:v>異常偵測；因果線索分析；可解釋的建議排序；專門模型焦點：保存長流程中間狀態並支援恢復與重試</x:v>
      </x:c>
      <x:c r="J23" s="37" t="str">
        <x:v>依目標自主規劃步驟、呼叫核准工具、遇到例外改走人工佇列，完成後驗證結果並回報</x:v>
      </x:c>
      <x:c r="K23" s="37" t="str">
        <x:v>L4 有護欄自主執行</x:v>
      </x:c>
      <x:c r="L23" s="37" t="str">
        <x:v>Agent 定義、任務軌跡、工具呼叫、權限、成本、評測結果</x:v>
      </x:c>
      <x:c r="M23" s="37" t="str">
        <x:v>JVision Agent OS、IAM、SIEM、ERP、CRM、MCP Server</x:v>
      </x:c>
      <x:c r="N23" s="37" t="str">
        <x:v>一家製造企業同時運行 30 個數位員工，需要安全地建立、測試、派工、監督與持續改善。Demo：匯入一組去識別資料，觸發「保存長流程中間狀態並支援恢復與重試」，由系統提出證據、建議與下一步；使用者核准後回寫任務，最後呈現「降低逾時造成的重工」前後差異。</x:v>
      </x:c>
      <x:c r="O23" s="37" t="str">
        <x:v>低</x:v>
      </x:c>
      <x:c r="P23" s="37" t="str">
        <x:v>鄰近既有能力：原有 AI Agent 展示多聚焦單一業務任務，未必涵蓋 Agent 全生命週期平台治理。本 App 的獨立邊界是「保存長流程中間狀態並支援恢復與重試」，主要產出為「降低逾時造成的重工」，不是一般登錄、查詢或看板。</x:v>
      </x:c>
      <x:c r="Q23" s="38" t="n">
        <x:v>5</x:v>
      </x:c>
      <x:c r="R23" s="38" t="n">
        <x:v>4</x:v>
      </x:c>
      <x:c r="S23" s="38" t="str">
        <x:v>P0</x:v>
      </x:c>
      <x:c r="T23" s="38" t="n">
        <x:v>8</x:v>
      </x:c>
      <x:c r="U23" s="39" t="str">
        <x:v>Wave 1 平台底座／旗艦</x:v>
      </x:c>
    </x:row>
    <x:row r="24" ht="86" customHeight="1">
      <x:c r="A24" s="36" t="str">
        <x:v>JV-020</x:v>
      </x:c>
      <x:c r="B24" s="37" t="str">
        <x:v>Agent 人機協作佇列</x:v>
      </x:c>
      <x:c r="C24" s="37" t="str">
        <x:v>AI Agent／Agentic AI</x:v>
      </x:c>
      <x:c r="D24" s="37" t="str">
        <x:v>執行與編排</x:v>
      </x:c>
      <x:c r="E24" s="37" t="str">
        <x:v>資訊、數位轉型、各業務部門</x:v>
      </x:c>
      <x:c r="F24" s="37" t="str">
        <x:v>AI 平台負責人、流程主管、產品經理</x:v>
      </x:c>
      <x:c r="G24" s="37" t="str">
        <x:v>現行作法對「將高風險或低信心步驟送人工決策再續跑」多靠人工彙整、個人經驗或事後處理，難以一致追蹤，造成決策延遲與重工。</x:v>
      </x:c>
      <x:c r="H24" s="37" t="str">
        <x:v>資料／事件接入；將高風險或低信心步驟送人工決策再續跑；證據與信心呈現；例外分流與人工覆核；兼顧自動化與可控性成效追蹤；完整稽核軌跡</x:v>
      </x:c>
      <x:c r="I24" s="37" t="str">
        <x:v>RAG 檢索與來源引用；規則＋模型混合判斷；矛盾檢查；專門模型焦點：將高風險或低信心步驟送人工決策再續跑</x:v>
      </x:c>
      <x:c r="J24" s="37" t="str">
        <x:v>與多個專業 Agent 協作拆解任務，保留交接證據、逾時升級並在失敗時安全回滾</x:v>
      </x:c>
      <x:c r="K24" s="37" t="str">
        <x:v>L2 建議／需核准</x:v>
      </x:c>
      <x:c r="L24" s="37" t="str">
        <x:v>Agent 定義、任務軌跡、工具呼叫、權限、成本、評測結果</x:v>
      </x:c>
      <x:c r="M24" s="37" t="str">
        <x:v>JVision Agent OS、IAM、SIEM、ERP、CRM、MCP Server</x:v>
      </x:c>
      <x:c r="N24" s="37" t="str">
        <x:v>一家製造企業同時運行 30 個數位員工，需要安全地建立、測試、派工、監督與持續改善。Demo：匯入一組去識別資料，觸發「將高風險或低信心步驟送人工決策再續跑」，由系統提出證據、建議與下一步；使用者核准後回寫任務，最後呈現「兼顧自動化與可控性」前後差異。</x:v>
      </x:c>
      <x:c r="O24" s="37" t="str">
        <x:v>中低</x:v>
      </x:c>
      <x:c r="P24" s="37" t="str">
        <x:v>鄰近既有能力：原有 AI Agent 展示多聚焦單一業務任務，未必涵蓋 Agent 全生命週期平台治理。本 App 的獨立邊界是「將高風險或低信心步驟送人工決策再續跑」，主要產出為「兼顧自動化與可控性」，不是一般登錄、查詢或看板。</x:v>
      </x:c>
      <x:c r="Q24" s="38" t="n">
        <x:v>5</x:v>
      </x:c>
      <x:c r="R24" s="38" t="n">
        <x:v>5</x:v>
      </x:c>
      <x:c r="S24" s="38" t="str">
        <x:v>P1</x:v>
      </x:c>
      <x:c r="T24" s="38" t="n">
        <x:v>11</x:v>
      </x:c>
      <x:c r="U24" s="39" t="str">
        <x:v>Wave 2 高價值套件</x:v>
      </x:c>
    </x:row>
    <x:row r="25" ht="86" customHeight="1">
      <x:c r="A25" s="36" t="str">
        <x:v>JV-021</x:v>
      </x:c>
      <x:c r="B25" s="37" t="str">
        <x:v>Agent 身分生命週期中心</x:v>
      </x:c>
      <x:c r="C25" s="37" t="str">
        <x:v>AI Agent／Agentic AI</x:v>
      </x:c>
      <x:c r="D25" s="37" t="str">
        <x:v>權限與身分</x:v>
      </x:c>
      <x:c r="E25" s="37" t="str">
        <x:v>資訊、數位轉型、各業務部門</x:v>
      </x:c>
      <x:c r="F25" s="37" t="str">
        <x:v>AI 平台負責人、流程主管、產品經理</x:v>
      </x:c>
      <x:c r="G25" s="37" t="str">
        <x:v>現行作法對「建立、輪替、停用 Agent 身分與服務憑證」多靠人工彙整、個人經驗或事後處理，難以一致追蹤，造成決策延遲與重工。</x:v>
      </x:c>
      <x:c r="H25" s="37" t="str">
        <x:v>資料／事件接入；建立、輪替、停用 Agent 身分與服務憑證；證據與信心呈現；例外分流與人工覆核；消除共用帳號風險成效追蹤；完整稽核軌跡</x:v>
      </x:c>
      <x:c r="I25" s="37" t="str">
        <x:v>語意分類與實體抽取；風險／信心評分；具證據的生成與摘要；專門模型焦點：建立、輪替、停用 Agent 身分與服務憑證</x:v>
      </x:c>
      <x:c r="J25" s="37" t="str">
        <x:v>持續監測事件，達門檻後建立案件、蒐集證據、指派責任並追蹤結案；高風險動作需人工核准</x:v>
      </x:c>
      <x:c r="K25" s="37" t="str">
        <x:v>L3 可執行／關鍵核准</x:v>
      </x:c>
      <x:c r="L25" s="37" t="str">
        <x:v>Agent 定義、任務軌跡、工具呼叫、權限、成本、評測結果</x:v>
      </x:c>
      <x:c r="M25" s="37" t="str">
        <x:v>JVision Agent OS、IAM、SIEM、ERP、CRM、MCP Server</x:v>
      </x:c>
      <x:c r="N25" s="37" t="str">
        <x:v>一家製造企業同時運行 30 個數位員工，需要安全地建立、測試、派工、監督與持續改善。Demo：匯入一組去識別資料，觸發「建立、輪替、停用 Agent 身分與服務憑證」，由系統提出證據、建議與下一步；使用者核准後回寫任務，最後呈現「消除共用帳號風險」前後差異。</x:v>
      </x:c>
      <x:c r="O25" s="37" t="str">
        <x:v>中低</x:v>
      </x:c>
      <x:c r="P25" s="37" t="str">
        <x:v>鄰近既有能力：原有 AI Agent 展示多聚焦單一業務任務，未必涵蓋 Agent 全生命週期平台治理。本 App 的獨立邊界是「建立、輪替、停用 Agent 身分與服務憑證」，主要產出為「消除共用帳號風險」，不是一般登錄、查詢或看板。</x:v>
      </x:c>
      <x:c r="Q25" s="38" t="n">
        <x:v>4</x:v>
      </x:c>
      <x:c r="R25" s="38" t="n">
        <x:v>3</x:v>
      </x:c>
      <x:c r="S25" s="38" t="str">
        <x:v>P0</x:v>
      </x:c>
      <x:c r="T25" s="38" t="n">
        <x:v>6</x:v>
      </x:c>
      <x:c r="U25" s="39" t="str">
        <x:v>Wave 1 平台底座／旗艦</x:v>
      </x:c>
    </x:row>
    <x:row r="26" ht="86" customHeight="1">
      <x:c r="A26" s="36" t="str">
        <x:v>JV-022</x:v>
      </x:c>
      <x:c r="B26" s="37" t="str">
        <x:v>Agent 最小權限設計器</x:v>
      </x:c>
      <x:c r="C26" s="37" t="str">
        <x:v>AI Agent／Agentic AI</x:v>
      </x:c>
      <x:c r="D26" s="37" t="str">
        <x:v>權限與身分</x:v>
      </x:c>
      <x:c r="E26" s="37" t="str">
        <x:v>資訊、數位轉型、各業務部門</x:v>
      </x:c>
      <x:c r="F26" s="37" t="str">
        <x:v>AI 平台負責人、流程主管、產品經理</x:v>
      </x:c>
      <x:c r="G26" s="37" t="str">
        <x:v>現行作法對「依實際任務推導工具與資料最小權限」多靠人工彙整、個人經驗或事後處理，難以一致追蹤，造成決策延遲與重工。</x:v>
      </x:c>
      <x:c r="H26" s="37" t="str">
        <x:v>資料／事件接入；依實際任務推導工具與資料最小權限；證據與信心呈現；例外分流與人工覆核；降低越權暴露面成效追蹤；完整稽核軌跡</x:v>
      </x:c>
      <x:c r="I26" s="37" t="str">
        <x:v>預測與情境模擬；多目標最佳化；不確定性呈現；專門模型焦點：依實際任務推導工具與資料最小權限</x:v>
      </x:c>
      <x:c r="J26" s="37" t="str">
        <x:v>定期掃描資料與外部訊號，提出優先序與建議；經核准後同步任務與更新來源系統</x:v>
      </x:c>
      <x:c r="K26" s="37" t="str">
        <x:v>L4 有護欄自主執行</x:v>
      </x:c>
      <x:c r="L26" s="37" t="str">
        <x:v>Agent 定義、任務軌跡、工具呼叫、權限、成本、評測結果</x:v>
      </x:c>
      <x:c r="M26" s="37" t="str">
        <x:v>JVision Agent OS、IAM、SIEM、ERP、CRM、MCP Server</x:v>
      </x:c>
      <x:c r="N26" s="37" t="str">
        <x:v>一家製造企業同時運行 30 個數位員工，需要安全地建立、測試、派工、監督與持續改善。Demo：匯入一組去識別資料，觸發「依實際任務推導工具與資料最小權限」，由系統提出證據、建議與下一步；使用者核准後回寫任務，最後呈現「降低越權暴露面」前後差異。</x:v>
      </x:c>
      <x:c r="O26" s="37" t="str">
        <x:v>低</x:v>
      </x:c>
      <x:c r="P26" s="37" t="str">
        <x:v>鄰近既有能力：原有 AI Agent 展示多聚焦單一業務任務，未必涵蓋 Agent 全生命週期平台治理。本 App 的獨立邊界是「依實際任務推導工具與資料最小權限」，主要產出為「降低越權暴露面」，不是一般登錄、查詢或看板。</x:v>
      </x:c>
      <x:c r="Q26" s="38" t="n">
        <x:v>5</x:v>
      </x:c>
      <x:c r="R26" s="38" t="n">
        <x:v>4</x:v>
      </x:c>
      <x:c r="S26" s="38" t="str">
        <x:v>P0</x:v>
      </x:c>
      <x:c r="T26" s="38" t="n">
        <x:v>8</x:v>
      </x:c>
      <x:c r="U26" s="39" t="str">
        <x:v>Wave 1 平台底座／旗艦</x:v>
      </x:c>
    </x:row>
    <x:row r="27" ht="86" customHeight="1">
      <x:c r="A27" s="36" t="str">
        <x:v>JV-023</x:v>
      </x:c>
      <x:c r="B27" s="37" t="str">
        <x:v>Agent 委任授權簿</x:v>
      </x:c>
      <x:c r="C27" s="37" t="str">
        <x:v>AI Agent／Agentic AI</x:v>
      </x:c>
      <x:c r="D27" s="37" t="str">
        <x:v>權限與身分</x:v>
      </x:c>
      <x:c r="E27" s="37" t="str">
        <x:v>資訊、數位轉型、各業務部門</x:v>
      </x:c>
      <x:c r="F27" s="37" t="str">
        <x:v>AI 平台負責人、流程主管、產品經理</x:v>
      </x:c>
      <x:c r="G27" s="37" t="str">
        <x:v>現行作法對「記錄誰在何時授權 Agent 代表執行哪些行為」多靠人工彙整、個人經驗或事後處理，難以一致追蹤，造成決策延遲與重工。</x:v>
      </x:c>
      <x:c r="H27" s="37" t="str">
        <x:v>資料／事件接入；記錄誰在何時授權 Agent 代表執行哪些行為；證據與信心呈現；例外分流與人工覆核；建立可追責委任鏈成效追蹤；完整稽核軌跡</x:v>
      </x:c>
      <x:c r="I27" s="37" t="str">
        <x:v>跨文件／跨系統比對；圖譜推理；差異與缺口生成；專門模型焦點：記錄誰在何時授權 Agent 代表執行哪些行為</x:v>
      </x:c>
      <x:c r="J27" s="37" t="str">
        <x:v>以人機協作模式先產生草案與證據包，接受修改後執行核准步驟並建立完整稽核軌跡</x:v>
      </x:c>
      <x:c r="K27" s="37" t="str">
        <x:v>L4 有護欄自主執行</x:v>
      </x:c>
      <x:c r="L27" s="37" t="str">
        <x:v>Agent 定義、任務軌跡、工具呼叫、權限、成本、評測結果</x:v>
      </x:c>
      <x:c r="M27" s="37" t="str">
        <x:v>JVision Agent OS、IAM、SIEM、ERP、CRM、MCP Server</x:v>
      </x:c>
      <x:c r="N27" s="37" t="str">
        <x:v>一家製造企業同時運行 30 個數位員工，需要安全地建立、測試、派工、監督與持續改善。Demo：匯入一組去識別資料，觸發「記錄誰在何時授權 Agent 代表執行哪些行為」，由系統提出證據、建議與下一步；使用者核准後回寫任務，最後呈現「建立可追責委任鏈」前後差異。</x:v>
      </x:c>
      <x:c r="O27" s="37" t="str">
        <x:v>低</x:v>
      </x:c>
      <x:c r="P27" s="37" t="str">
        <x:v>鄰近既有能力：原有 AI Agent 展示多聚焦單一業務任務，未必涵蓋 Agent 全生命週期平台治理。本 App 的獨立邊界是「記錄誰在何時授權 Agent 代表執行哪些行為」，主要產出為「建立可追責委任鏈」，不是一般登錄、查詢或看板。</x:v>
      </x:c>
      <x:c r="Q27" s="38" t="n">
        <x:v>5</x:v>
      </x:c>
      <x:c r="R27" s="38" t="n">
        <x:v>4</x:v>
      </x:c>
      <x:c r="S27" s="38" t="str">
        <x:v>P0</x:v>
      </x:c>
      <x:c r="T27" s="38" t="n">
        <x:v>8</x:v>
      </x:c>
      <x:c r="U27" s="39" t="str">
        <x:v>Wave 1 平台底座／旗艦</x:v>
      </x:c>
    </x:row>
    <x:row r="28" ht="86" customHeight="1">
      <x:c r="A28" s="36" t="str">
        <x:v>JV-024</x:v>
      </x:c>
      <x:c r="B28" s="37" t="str">
        <x:v>Agent 臨時權限仲介</x:v>
      </x:c>
      <x:c r="C28" s="37" t="str">
        <x:v>AI Agent／Agentic AI</x:v>
      </x:c>
      <x:c r="D28" s="37" t="str">
        <x:v>權限與身分</x:v>
      </x:c>
      <x:c r="E28" s="37" t="str">
        <x:v>資訊、數位轉型、各業務部門</x:v>
      </x:c>
      <x:c r="F28" s="37" t="str">
        <x:v>AI 平台負責人、流程主管、產品經理</x:v>
      </x:c>
      <x:c r="G28" s="37" t="str">
        <x:v>現行作法對「高風險任務按條件核發短效權限並自動回收」多靠人工彙整、個人經驗或事後處理，難以一致追蹤，造成決策延遲與重工。</x:v>
      </x:c>
      <x:c r="H28" s="37" t="str">
        <x:v>資料／事件接入；高風險任務按條件核發短效權限並自動回收；證據與信心呈現；例外分流與人工覆核；控制特權使用時間成效追蹤；完整稽核軌跡</x:v>
      </x:c>
      <x:c r="I28" s="37" t="str">
        <x:v>異常偵測；因果線索分析；可解釋的建議排序；專門模型焦點：高風險任務按條件核發短效權限並自動回收</x:v>
      </x:c>
      <x:c r="J28" s="37" t="str">
        <x:v>依目標自主規劃步驟、呼叫核准工具、遇到例外改走人工佇列，完成後驗證結果並回報</x:v>
      </x:c>
      <x:c r="K28" s="37" t="str">
        <x:v>L4 有護欄自主執行</x:v>
      </x:c>
      <x:c r="L28" s="37" t="str">
        <x:v>Agent 定義、任務軌跡、工具呼叫、權限、成本、評測結果</x:v>
      </x:c>
      <x:c r="M28" s="37" t="str">
        <x:v>JVision Agent OS、IAM、SIEM、ERP、CRM、MCP Server</x:v>
      </x:c>
      <x:c r="N28" s="37" t="str">
        <x:v>一家製造企業同時運行 30 個數位員工，需要安全地建立、測試、派工、監督與持續改善。Demo：匯入一組去識別資料，觸發「高風險任務按條件核發短效權限並自動回收」，由系統提出證據、建議與下一步；使用者核准後回寫任務，最後呈現「控制特權使用時間」前後差異。</x:v>
      </x:c>
      <x:c r="O28" s="37" t="str">
        <x:v>低</x:v>
      </x:c>
      <x:c r="P28" s="37" t="str">
        <x:v>鄰近既有能力：原有 AI Agent 展示多聚焦單一業務任務，未必涵蓋 Agent 全生命週期平台治理。本 App 的獨立邊界是「高風險任務按條件核發短效權限並自動回收」，主要產出為「控制特權使用時間」，不是一般登錄、查詢或看板。</x:v>
      </x:c>
      <x:c r="Q28" s="38" t="n">
        <x:v>5</x:v>
      </x:c>
      <x:c r="R28" s="38" t="n">
        <x:v>4</x:v>
      </x:c>
      <x:c r="S28" s="38" t="str">
        <x:v>P0</x:v>
      </x:c>
      <x:c r="T28" s="38" t="n">
        <x:v>8</x:v>
      </x:c>
      <x:c r="U28" s="39" t="str">
        <x:v>Wave 1 平台底座／旗艦</x:v>
      </x:c>
    </x:row>
    <x:row r="29" ht="86" customHeight="1">
      <x:c r="A29" s="36" t="str">
        <x:v>JV-025</x:v>
      </x:c>
      <x:c r="B29" s="37" t="str">
        <x:v>Agent 職責衝突偵測器</x:v>
      </x:c>
      <x:c r="C29" s="37" t="str">
        <x:v>AI Agent／Agentic AI</x:v>
      </x:c>
      <x:c r="D29" s="37" t="str">
        <x:v>權限與身分</x:v>
      </x:c>
      <x:c r="E29" s="37" t="str">
        <x:v>資訊、數位轉型、各業務部門</x:v>
      </x:c>
      <x:c r="F29" s="37" t="str">
        <x:v>AI 平台負責人、流程主管、產品經理</x:v>
      </x:c>
      <x:c r="G29" s="37" t="str">
        <x:v>現行作法對「識別申請、核准、付款等不相容權限組合」多靠人工彙整、個人經驗或事後處理，難以一致追蹤，造成決策延遲與重工。</x:v>
      </x:c>
      <x:c r="H29" s="37" t="str">
        <x:v>資料／事件接入；識別申請、核准、付款等不相容權限組合；證據與信心呈現；例外分流與人工覆核；避免 Agent 形成舞弊閉環成效追蹤；完整稽核軌跡</x:v>
      </x:c>
      <x:c r="I29" s="37" t="str">
        <x:v>RAG 檢索與來源引用；規則＋模型混合判斷；矛盾檢查；專門模型焦點：識別申請、核准、付款等不相容權限組合</x:v>
      </x:c>
      <x:c r="J29" s="37" t="str">
        <x:v>與多個專業 Agent 協作拆解任務，保留交接證據、逾時升級並在失敗時安全回滾</x:v>
      </x:c>
      <x:c r="K29" s="37" t="str">
        <x:v>L2 建議／需核准</x:v>
      </x:c>
      <x:c r="L29" s="37" t="str">
        <x:v>Agent 定義、任務軌跡、工具呼叫、權限、成本、評測結果</x:v>
      </x:c>
      <x:c r="M29" s="37" t="str">
        <x:v>JVision Agent OS、IAM、SIEM、ERP、CRM、MCP Server</x:v>
      </x:c>
      <x:c r="N29" s="37" t="str">
        <x:v>一家製造企業同時運行 30 個數位員工，需要安全地建立、測試、派工、監督與持續改善。Demo：匯入一組去識別資料，觸發「識別申請、核准、付款等不相容權限組合」，由系統提出證據、建議與下一步；使用者核准後回寫任務，最後呈現「避免 Agent 形成舞弊閉環」前後差異。</x:v>
      </x:c>
      <x:c r="O29" s="37" t="str">
        <x:v>中低</x:v>
      </x:c>
      <x:c r="P29" s="37" t="str">
        <x:v>鄰近既有能力：原有 AI Agent 展示多聚焦單一業務任務，未必涵蓋 Agent 全生命週期平台治理。本 App 的獨立邊界是「識別申請、核准、付款等不相容權限組合」，主要產出為「避免 Agent 形成舞弊閉環」，不是一般登錄、查詢或看板。</x:v>
      </x:c>
      <x:c r="Q29" s="38" t="n">
        <x:v>5</x:v>
      </x:c>
      <x:c r="R29" s="38" t="n">
        <x:v>5</x:v>
      </x:c>
      <x:c r="S29" s="38" t="str">
        <x:v>P0</x:v>
      </x:c>
      <x:c r="T29" s="38" t="n">
        <x:v>10</x:v>
      </x:c>
      <x:c r="U29" s="39" t="str">
        <x:v>Wave 1 平台底座／旗艦</x:v>
      </x:c>
    </x:row>
    <x:row r="30" ht="86" customHeight="1">
      <x:c r="A30" s="36" t="str">
        <x:v>JV-026</x:v>
      </x:c>
      <x:c r="B30" s="37" t="str">
        <x:v>Agent 行為時間線</x:v>
      </x:c>
      <x:c r="C30" s="37" t="str">
        <x:v>AI Agent／Agentic AI</x:v>
      </x:c>
      <x:c r="D30" s="37" t="str">
        <x:v>監控與稽核</x:v>
      </x:c>
      <x:c r="E30" s="37" t="str">
        <x:v>資訊、數位轉型、各業務部門</x:v>
      </x:c>
      <x:c r="F30" s="37" t="str">
        <x:v>AI 平台負責人、流程主管、產品經理</x:v>
      </x:c>
      <x:c r="G30" s="37" t="str">
        <x:v>現行作法對「把對話、推理摘要、工具呼叫與資料存取串成事件鏈」多靠人工彙整、個人經驗或事後處理，難以一致追蹤，造成決策延遲與重工。</x:v>
      </x:c>
      <x:c r="H30" s="37" t="str">
        <x:v>資料／事件接入；把對話、推理摘要、工具呼叫與資料存取串成事件鏈；證據與信心呈現；例外分流與人工覆核；快速還原事故成效追蹤；完整稽核軌跡</x:v>
      </x:c>
      <x:c r="I30" s="37" t="str">
        <x:v>語意分類與實體抽取；風險／信心評分；具證據的生成與摘要；專門模型焦點：把對話、推理摘要、工具呼叫與資料存取串成事件鏈</x:v>
      </x:c>
      <x:c r="J30" s="37" t="str">
        <x:v>持續監測事件，達門檻後建立案件、蒐集證據、指派責任並追蹤結案；高風險動作需人工核准</x:v>
      </x:c>
      <x:c r="K30" s="37" t="str">
        <x:v>L3 可執行／關鍵核准</x:v>
      </x:c>
      <x:c r="L30" s="37" t="str">
        <x:v>Agent 定義、任務軌跡、工具呼叫、權限、成本、評測結果</x:v>
      </x:c>
      <x:c r="M30" s="37" t="str">
        <x:v>JVision Agent OS、IAM、SIEM、ERP、CRM、MCP Server</x:v>
      </x:c>
      <x:c r="N30" s="37" t="str">
        <x:v>一家製造企業同時運行 30 個數位員工，需要安全地建立、測試、派工、監督與持續改善。Demo：匯入一組去識別資料，觸發「把對話、推理摘要、工具呼叫與資料存取串成事件鏈」，由系統提出證據、建議與下一步；使用者核准後回寫任務，最後呈現「快速還原事故」前後差異。</x:v>
      </x:c>
      <x:c r="O30" s="37" t="str">
        <x:v>中低</x:v>
      </x:c>
      <x:c r="P30" s="37" t="str">
        <x:v>鄰近既有能力：原有 AI Agent 展示多聚焦單一業務任務，未必涵蓋 Agent 全生命週期平台治理。本 App 的獨立邊界是「把對話、推理摘要、工具呼叫與資料存取串成事件鏈」，主要產出為「快速還原事故」，不是一般登錄、查詢或看板。</x:v>
      </x:c>
      <x:c r="Q30" s="38" t="n">
        <x:v>5</x:v>
      </x:c>
      <x:c r="R30" s="38" t="n">
        <x:v>3</x:v>
      </x:c>
      <x:c r="S30" s="38" t="str">
        <x:v>P0</x:v>
      </x:c>
      <x:c r="T30" s="38" t="n">
        <x:v>6</x:v>
      </x:c>
      <x:c r="U30" s="39" t="str">
        <x:v>Wave 1 平台底座／旗艦</x:v>
      </x:c>
    </x:row>
    <x:row r="31" ht="86" customHeight="1">
      <x:c r="A31" s="36" t="str">
        <x:v>JV-027</x:v>
      </x:c>
      <x:c r="B31" s="37" t="str">
        <x:v>Agent 異常行為偵測器</x:v>
      </x:c>
      <x:c r="C31" s="37" t="str">
        <x:v>AI Agent／Agentic AI</x:v>
      </x:c>
      <x:c r="D31" s="37" t="str">
        <x:v>監控與稽核</x:v>
      </x:c>
      <x:c r="E31" s="37" t="str">
        <x:v>資訊、數位轉型、各業務部門</x:v>
      </x:c>
      <x:c r="F31" s="37" t="str">
        <x:v>AI 平台負責人、流程主管、產品經理</x:v>
      </x:c>
      <x:c r="G31" s="37" t="str">
        <x:v>現行作法對「辨識呼叫暴增、偏離流程與異常資料存取」多靠人工彙整、個人經驗或事後處理，難以一致追蹤，造成決策延遲與重工。</x:v>
      </x:c>
      <x:c r="H31" s="37" t="str">
        <x:v>資料／事件接入；辨識呼叫暴增、偏離流程與異常資料存取；證據與信心呈現；例外分流與人工覆核；及早阻止失控成效追蹤；完整稽核軌跡</x:v>
      </x:c>
      <x:c r="I31" s="37" t="str">
        <x:v>預測與情境模擬；多目標最佳化；不確定性呈現；專門模型焦點：辨識呼叫暴增、偏離流程與異常資料存取</x:v>
      </x:c>
      <x:c r="J31" s="37" t="str">
        <x:v>定期掃描資料與外部訊號，提出優先序與建議；經核准後同步任務與更新來源系統</x:v>
      </x:c>
      <x:c r="K31" s="37" t="str">
        <x:v>L4 有護欄自主執行</x:v>
      </x:c>
      <x:c r="L31" s="37" t="str">
        <x:v>Agent 定義、任務軌跡、工具呼叫、權限、成本、評測結果</x:v>
      </x:c>
      <x:c r="M31" s="37" t="str">
        <x:v>JVision Agent OS、IAM、SIEM、ERP、CRM、MCP Server</x:v>
      </x:c>
      <x:c r="N31" s="37" t="str">
        <x:v>一家製造企業同時運行 30 個數位員工，需要安全地建立、測試、派工、監督與持續改善。Demo：匯入一組去識別資料，觸發「辨識呼叫暴增、偏離流程與異常資料存取」，由系統提出證據、建議與下一步；使用者核准後回寫任務，最後呈現「及早阻止失控」前後差異。</x:v>
      </x:c>
      <x:c r="O31" s="37" t="str">
        <x:v>低</x:v>
      </x:c>
      <x:c r="P31" s="37" t="str">
        <x:v>鄰近既有能力：原有 AI Agent 展示多聚焦單一業務任務，未必涵蓋 Agent 全生命週期平台治理。本 App 的獨立邊界是「辨識呼叫暴增、偏離流程與異常資料存取」，主要產出為「及早阻止失控」，不是一般登錄、查詢或看板。</x:v>
      </x:c>
      <x:c r="Q31" s="38" t="n">
        <x:v>4</x:v>
      </x:c>
      <x:c r="R31" s="38" t="n">
        <x:v>4</x:v>
      </x:c>
      <x:c r="S31" s="38" t="str">
        <x:v>P0</x:v>
      </x:c>
      <x:c r="T31" s="38" t="n">
        <x:v>8</x:v>
      </x:c>
      <x:c r="U31" s="39" t="str">
        <x:v>Wave 1 平台底座／旗艦</x:v>
      </x:c>
    </x:row>
    <x:row r="32" ht="86" customHeight="1">
      <x:c r="A32" s="36" t="str">
        <x:v>JV-028</x:v>
      </x:c>
      <x:c r="B32" s="37" t="str">
        <x:v>Agent 稽核證據包產生器</x:v>
      </x:c>
      <x:c r="C32" s="37" t="str">
        <x:v>AI Agent／Agentic AI</x:v>
      </x:c>
      <x:c r="D32" s="37" t="str">
        <x:v>監控與稽核</x:v>
      </x:c>
      <x:c r="E32" s="37" t="str">
        <x:v>資訊、數位轉型、各業務部門</x:v>
      </x:c>
      <x:c r="F32" s="37" t="str">
        <x:v>AI 平台負責人、流程主管、產品經理</x:v>
      </x:c>
      <x:c r="G32" s="37" t="str">
        <x:v>現行作法對「依案件匯出版本、授權、證據與核准紀錄」多靠人工彙整、個人經驗或事後處理，難以一致追蹤，造成決策延遲與重工。</x:v>
      </x:c>
      <x:c r="H32" s="37" t="str">
        <x:v>資料／事件接入；依案件匯出版本、授權、證據與核准紀錄；證據與信心呈現；例外分流與人工覆核；縮短查核準備成效追蹤；完整稽核軌跡</x:v>
      </x:c>
      <x:c r="I32" s="37" t="str">
        <x:v>跨文件／跨系統比對；圖譜推理；差異與缺口生成；專門模型焦點：依案件匯出版本、授權、證據與核准紀錄</x:v>
      </x:c>
      <x:c r="J32" s="37" t="str">
        <x:v>以人機協作模式先產生草案與證據包，接受修改後執行核准步驟並建立完整稽核軌跡</x:v>
      </x:c>
      <x:c r="K32" s="37" t="str">
        <x:v>L3 可執行／關鍵核准</x:v>
      </x:c>
      <x:c r="L32" s="37" t="str">
        <x:v>Agent 定義、任務軌跡、工具呼叫、權限、成本、評測結果</x:v>
      </x:c>
      <x:c r="M32" s="37" t="str">
        <x:v>JVision Agent OS、IAM、SIEM、ERP、CRM、MCP Server</x:v>
      </x:c>
      <x:c r="N32" s="37" t="str">
        <x:v>一家製造企業同時運行 30 個數位員工，需要安全地建立、測試、派工、監督與持續改善。Demo：匯入一組去識別資料，觸發「依案件匯出版本、授權、證據與核准紀錄」，由系統提出證據、建議與下一步；使用者核准後回寫任務，最後呈現「縮短查核準備」前後差異。</x:v>
      </x:c>
      <x:c r="O32" s="37" t="str">
        <x:v>低</x:v>
      </x:c>
      <x:c r="P32" s="37" t="str">
        <x:v>鄰近既有能力：原有 AI Agent 展示多聚焦單一業務任務，未必涵蓋 Agent 全生命週期平台治理。本 App 的獨立邊界是「依案件匯出版本、授權、證據與核准紀錄」，主要產出為「縮短查核準備」，不是一般登錄、查詢或看板。</x:v>
      </x:c>
      <x:c r="Q32" s="38" t="n">
        <x:v>5</x:v>
      </x:c>
      <x:c r="R32" s="38" t="n">
        <x:v>4</x:v>
      </x:c>
      <x:c r="S32" s="38" t="str">
        <x:v>P1</x:v>
      </x:c>
      <x:c r="T32" s="38" t="n">
        <x:v>9</x:v>
      </x:c>
      <x:c r="U32" s="39" t="str">
        <x:v>Wave 2 高價值套件</x:v>
      </x:c>
    </x:row>
    <x:row r="33" ht="86" customHeight="1">
      <x:c r="A33" s="36" t="str">
        <x:v>JV-029</x:v>
      </x:c>
      <x:c r="B33" s="37" t="str">
        <x:v>Agent 決策可解釋台</x:v>
      </x:c>
      <x:c r="C33" s="37" t="str">
        <x:v>AI Agent／Agentic AI</x:v>
      </x:c>
      <x:c r="D33" s="37" t="str">
        <x:v>監控與稽核</x:v>
      </x:c>
      <x:c r="E33" s="37" t="str">
        <x:v>資訊、數位轉型、各業務部門</x:v>
      </x:c>
      <x:c r="F33" s="37" t="str">
        <x:v>AI 平台負責人、流程主管、產品經理</x:v>
      </x:c>
      <x:c r="G33" s="37" t="str">
        <x:v>現行作法對「呈現決策依據、替代方案與不確定性」多靠人工彙整、個人經驗或事後處理，難以一致追蹤，造成決策延遲與重工。</x:v>
      </x:c>
      <x:c r="H33" s="37" t="str">
        <x:v>資料／事件接入；呈現決策依據、替代方案與不確定性；證據與信心呈現；例外分流與人工覆核；讓主管能審查自動決策成效追蹤；完整稽核軌跡</x:v>
      </x:c>
      <x:c r="I33" s="37" t="str">
        <x:v>異常偵測；因果線索分析；可解釋的建議排序；專門模型焦點：呈現決策依據、替代方案與不確定性</x:v>
      </x:c>
      <x:c r="J33" s="37" t="str">
        <x:v>依目標自主規劃步驟、呼叫核准工具、遇到例外改走人工佇列，完成後驗證結果並回報</x:v>
      </x:c>
      <x:c r="K33" s="37" t="str">
        <x:v>L4 有護欄自主執行</x:v>
      </x:c>
      <x:c r="L33" s="37" t="str">
        <x:v>Agent 定義、任務軌跡、工具呼叫、權限、成本、評測結果</x:v>
      </x:c>
      <x:c r="M33" s="37" t="str">
        <x:v>JVision Agent OS、IAM、SIEM、ERP、CRM、MCP Server</x:v>
      </x:c>
      <x:c r="N33" s="37" t="str">
        <x:v>一家製造企業同時運行 30 個數位員工，需要安全地建立、測試、派工、監督與持續改善。Demo：匯入一組去識別資料，觸發「呈現決策依據、替代方案與不確定性」，由系統提出證據、建議與下一步；使用者核准後回寫任務，最後呈現「讓主管能審查自動決策」前後差異。</x:v>
      </x:c>
      <x:c r="O33" s="37" t="str">
        <x:v>低</x:v>
      </x:c>
      <x:c r="P33" s="37" t="str">
        <x:v>鄰近既有能力：原有 AI Agent 展示多聚焦單一業務任務，未必涵蓋 Agent 全生命週期平台治理。本 App 的獨立邊界是「呈現決策依據、替代方案與不確定性」，主要產出為「讓主管能審查自動決策」，不是一般登錄、查詢或看板。</x:v>
      </x:c>
      <x:c r="Q33" s="38" t="n">
        <x:v>5</x:v>
      </x:c>
      <x:c r="R33" s="38" t="n">
        <x:v>4</x:v>
      </x:c>
      <x:c r="S33" s="38" t="str">
        <x:v>P0</x:v>
      </x:c>
      <x:c r="T33" s="38" t="n">
        <x:v>8</x:v>
      </x:c>
      <x:c r="U33" s="39" t="str">
        <x:v>Wave 1 平台底座／旗艦</x:v>
      </x:c>
    </x:row>
    <x:row r="34" ht="86" customHeight="1">
      <x:c r="A34" s="36" t="str">
        <x:v>JV-030</x:v>
      </x:c>
      <x:c r="B34" s="37" t="str">
        <x:v>Agent SLA 守門員</x:v>
      </x:c>
      <x:c r="C34" s="37" t="str">
        <x:v>AI Agent／Agentic AI</x:v>
      </x:c>
      <x:c r="D34" s="37" t="str">
        <x:v>監控與稽核</x:v>
      </x:c>
      <x:c r="E34" s="37" t="str">
        <x:v>資訊、數位轉型、各業務部門</x:v>
      </x:c>
      <x:c r="F34" s="37" t="str">
        <x:v>AI 平台負責人、流程主管、產品經理</x:v>
      </x:c>
      <x:c r="G34" s="37" t="str">
        <x:v>現行作法對「監測完成率、延遲與失敗原因並觸發升級」多靠人工彙整、個人經驗或事後處理，難以一致追蹤，造成決策延遲與重工。</x:v>
      </x:c>
      <x:c r="H34" s="37" t="str">
        <x:v>資料／事件接入；監測完成率、延遲與失敗原因並觸發升級；證據與信心呈現；例外分流與人工覆核；維持服務承諾成效追蹤；完整稽核軌跡</x:v>
      </x:c>
      <x:c r="I34" s="37" t="str">
        <x:v>RAG 檢索與來源引用；規則＋模型混合判斷；矛盾檢查；專門模型焦點：監測完成率、延遲與失敗原因並觸發升級</x:v>
      </x:c>
      <x:c r="J34" s="37" t="str">
        <x:v>與多個專業 Agent 協作拆解任務，保留交接證據、逾時升級並在失敗時安全回滾</x:v>
      </x:c>
      <x:c r="K34" s="37" t="str">
        <x:v>L2 建議／需核准</x:v>
      </x:c>
      <x:c r="L34" s="37" t="str">
        <x:v>Agent 定義、任務軌跡、工具呼叫、權限、成本、評測結果</x:v>
      </x:c>
      <x:c r="M34" s="37" t="str">
        <x:v>JVision Agent OS、IAM、SIEM、ERP、CRM、MCP Server</x:v>
      </x:c>
      <x:c r="N34" s="37" t="str">
        <x:v>一家製造企業同時運行 30 個數位員工，需要安全地建立、測試、派工、監督與持續改善。Demo：匯入一組去識別資料，觸發「監測完成率、延遲與失敗原因並觸發升級」，由系統提出證據、建議與下一步；使用者核准後回寫任務，最後呈現「維持服務承諾」前後差異。</x:v>
      </x:c>
      <x:c r="O34" s="37" t="str">
        <x:v>中低</x:v>
      </x:c>
      <x:c r="P34" s="37" t="str">
        <x:v>鄰近既有能力：原有 AI Agent 展示多聚焦單一業務任務，未必涵蓋 Agent 全生命週期平台治理。本 App 的獨立邊界是「監測完成率、延遲與失敗原因並觸發升級」，主要產出為「維持服務承諾」，不是一般登錄、查詢或看板。</x:v>
      </x:c>
      <x:c r="Q34" s="38" t="n">
        <x:v>5</x:v>
      </x:c>
      <x:c r="R34" s="38" t="n">
        <x:v>5</x:v>
      </x:c>
      <x:c r="S34" s="38" t="str">
        <x:v>P0</x:v>
      </x:c>
      <x:c r="T34" s="38" t="n">
        <x:v>10</x:v>
      </x:c>
      <x:c r="U34" s="39" t="str">
        <x:v>Wave 1 平台底座／旗艦</x:v>
      </x:c>
    </x:row>
    <x:row r="35" ht="86" customHeight="1">
      <x:c r="A35" s="36" t="str">
        <x:v>JV-031</x:v>
      </x:c>
      <x:c r="B35" s="37" t="str">
        <x:v>Agent 成本分攤中心</x:v>
      </x:c>
      <x:c r="C35" s="37" t="str">
        <x:v>AI Agent／Agentic AI</x:v>
      </x:c>
      <x:c r="D35" s="37" t="str">
        <x:v>成本與容量</x:v>
      </x:c>
      <x:c r="E35" s="37" t="str">
        <x:v>資訊、數位轉型、各業務部門</x:v>
      </x:c>
      <x:c r="F35" s="37" t="str">
        <x:v>AI 平台負責人、流程主管、產品經理</x:v>
      </x:c>
      <x:c r="G35" s="37" t="str">
        <x:v>現行作法對「按部門、流程、客戶與專案分攤模型及工具成本」多靠人工彙整、個人經驗或事後處理，難以一致追蹤，造成決策延遲與重工。</x:v>
      </x:c>
      <x:c r="H35" s="37" t="str">
        <x:v>資料／事件接入；按部門、流程、客戶與專案分攤模型及工具成本；證據與信心呈現；例外分流與人工覆核；建立精準內部計價成效追蹤；完整稽核軌跡</x:v>
      </x:c>
      <x:c r="I35" s="37" t="str">
        <x:v>語意分類與實體抽取；風險／信心評分；具證據的生成與摘要；專門模型焦點：按部門、流程、客戶與專案分攤模型及工具成本</x:v>
      </x:c>
      <x:c r="J35" s="37" t="str">
        <x:v>持續監測事件，達門檻後建立案件、蒐集證據、指派責任並追蹤結案；高風險動作需人工核准</x:v>
      </x:c>
      <x:c r="K35" s="37" t="str">
        <x:v>L3 可執行／關鍵核准</x:v>
      </x:c>
      <x:c r="L35" s="37" t="str">
        <x:v>Agent 定義、任務軌跡、工具呼叫、權限、成本、評測結果</x:v>
      </x:c>
      <x:c r="M35" s="37" t="str">
        <x:v>JVision Agent OS、IAM、SIEM、ERP、CRM、MCP Server</x:v>
      </x:c>
      <x:c r="N35" s="37" t="str">
        <x:v>一家製造企業同時運行 30 個數位員工，需要安全地建立、測試、派工、監督與持續改善。Demo：匯入一組去識別資料，觸發「按部門、流程、客戶與專案分攤模型及工具成本」，由系統提出證據、建議與下一步；使用者核准後回寫任務，最後呈現「建立精準內部計價」前後差異。</x:v>
      </x:c>
      <x:c r="O35" s="37" t="str">
        <x:v>中低</x:v>
      </x:c>
      <x:c r="P35" s="37" t="str">
        <x:v>鄰近既有能力：原有 AI Agent 展示多聚焦單一業務任務，未必涵蓋 Agent 全生命週期平台治理。本 App 的獨立邊界是「按部門、流程、客戶與專案分攤模型及工具成本」，主要產出為「建立精準內部計價」，不是一般登錄、查詢或看板。</x:v>
      </x:c>
      <x:c r="Q35" s="38" t="n">
        <x:v>5</x:v>
      </x:c>
      <x:c r="R35" s="38" t="n">
        <x:v>3</x:v>
      </x:c>
      <x:c r="S35" s="38" t="str">
        <x:v>P0</x:v>
      </x:c>
      <x:c r="T35" s="38" t="n">
        <x:v>6</x:v>
      </x:c>
      <x:c r="U35" s="39" t="str">
        <x:v>Wave 1 平台底座／旗艦</x:v>
      </x:c>
    </x:row>
    <x:row r="36" ht="86" customHeight="1">
      <x:c r="A36" s="36" t="str">
        <x:v>JV-032</x:v>
      </x:c>
      <x:c r="B36" s="37" t="str">
        <x:v>Agent Token 預算守門員</x:v>
      </x:c>
      <x:c r="C36" s="37" t="str">
        <x:v>AI Agent／Agentic AI</x:v>
      </x:c>
      <x:c r="D36" s="37" t="str">
        <x:v>成本與容量</x:v>
      </x:c>
      <x:c r="E36" s="37" t="str">
        <x:v>資訊、數位轉型、各業務部門</x:v>
      </x:c>
      <x:c r="F36" s="37" t="str">
        <x:v>AI 平台負責人、流程主管、產品經理</x:v>
      </x:c>
      <x:c r="G36" s="37" t="str">
        <x:v>現行作法對「在任務前估算成本並依預算調整策略」多靠人工彙整、個人經驗或事後處理，難以一致追蹤，造成決策延遲與重工。</x:v>
      </x:c>
      <x:c r="H36" s="37" t="str">
        <x:v>資料／事件接入；在任務前估算成本並依預算調整策略；證據與信心呈現；例外分流與人工覆核；避免用量失控成效追蹤；完整稽核軌跡</x:v>
      </x:c>
      <x:c r="I36" s="37" t="str">
        <x:v>預測與情境模擬；多目標最佳化；不確定性呈現；專門模型焦點：在任務前估算成本並依預算調整策略</x:v>
      </x:c>
      <x:c r="J36" s="37" t="str">
        <x:v>定期掃描資料與外部訊號，提出優先序與建議；經核准後同步任務與更新來源系統</x:v>
      </x:c>
      <x:c r="K36" s="37" t="str">
        <x:v>L4 有護欄自主執行</x:v>
      </x:c>
      <x:c r="L36" s="37" t="str">
        <x:v>Agent 定義、任務軌跡、工具呼叫、權限、成本、評測結果</x:v>
      </x:c>
      <x:c r="M36" s="37" t="str">
        <x:v>JVision Agent OS、IAM、SIEM、ERP、CRM、MCP Server</x:v>
      </x:c>
      <x:c r="N36" s="37" t="str">
        <x:v>一家製造企業同時運行 30 個數位員工，需要安全地建立、測試、派工、監督與持續改善。Demo：匯入一組去識別資料，觸發「在任務前估算成本並依預算調整策略」，由系統提出證據、建議與下一步；使用者核准後回寫任務，最後呈現「避免用量失控」前後差異。</x:v>
      </x:c>
      <x:c r="O36" s="37" t="str">
        <x:v>低</x:v>
      </x:c>
      <x:c r="P36" s="37" t="str">
        <x:v>鄰近既有能力：原有 AI Agent 展示多聚焦單一業務任務，未必涵蓋 Agent 全生命週期平台治理。本 App 的獨立邊界是「在任務前估算成本並依預算調整策略」，主要產出為「避免用量失控」，不是一般登錄、查詢或看板。</x:v>
      </x:c>
      <x:c r="Q36" s="38" t="n">
        <x:v>5</x:v>
      </x:c>
      <x:c r="R36" s="38" t="n">
        <x:v>4</x:v>
      </x:c>
      <x:c r="S36" s="38" t="str">
        <x:v>P0</x:v>
      </x:c>
      <x:c r="T36" s="38" t="n">
        <x:v>8</x:v>
      </x:c>
      <x:c r="U36" s="39" t="str">
        <x:v>Wave 1 平台底座／旗艦</x:v>
      </x:c>
    </x:row>
    <x:row r="37" ht="86" customHeight="1">
      <x:c r="A37" s="36" t="str">
        <x:v>JV-033</x:v>
      </x:c>
      <x:c r="B37" s="37" t="str">
        <x:v>Agent 容量規劃器</x:v>
      </x:c>
      <x:c r="C37" s="37" t="str">
        <x:v>AI Agent／Agentic AI</x:v>
      </x:c>
      <x:c r="D37" s="37" t="str">
        <x:v>成本與容量</x:v>
      </x:c>
      <x:c r="E37" s="37" t="str">
        <x:v>資訊、數位轉型、各業務部門</x:v>
      </x:c>
      <x:c r="F37" s="37" t="str">
        <x:v>AI 平台負責人、流程主管、產品經理</x:v>
      </x:c>
      <x:c r="G37" s="37" t="str">
        <x:v>現行作法對「以任務量、併發與延遲預測所需模型資源」多靠人工彙整、個人經驗或事後處理，難以一致追蹤，造成決策延遲與重工。</x:v>
      </x:c>
      <x:c r="H37" s="37" t="str">
        <x:v>資料／事件接入；以任務量、併發與延遲預測所需模型資源；證據與信心呈現；例外分流與人工覆核；支援擴容決策成效追蹤；完整稽核軌跡</x:v>
      </x:c>
      <x:c r="I37" s="37" t="str">
        <x:v>跨文件／跨系統比對；圖譜推理；差異與缺口生成；專門模型焦點：以任務量、併發與延遲預測所需模型資源</x:v>
      </x:c>
      <x:c r="J37" s="37" t="str">
        <x:v>以人機協作模式先產生草案與證據包，接受修改後執行核准步驟並建立完整稽核軌跡</x:v>
      </x:c>
      <x:c r="K37" s="37" t="str">
        <x:v>L4 有護欄自主執行</x:v>
      </x:c>
      <x:c r="L37" s="37" t="str">
        <x:v>Agent 定義、任務軌跡、工具呼叫、權限、成本、評測結果</x:v>
      </x:c>
      <x:c r="M37" s="37" t="str">
        <x:v>JVision Agent OS、IAM、SIEM、ERP、CRM、MCP Server</x:v>
      </x:c>
      <x:c r="N37" s="37" t="str">
        <x:v>一家製造企業同時運行 30 個數位員工，需要安全地建立、測試、派工、監督與持續改善。Demo：匯入一組去識別資料，觸發「以任務量、併發與延遲預測所需模型資源」，由系統提出證據、建議與下一步；使用者核准後回寫任務，最後呈現「支援擴容決策」前後差異。</x:v>
      </x:c>
      <x:c r="O37" s="37" t="str">
        <x:v>低</x:v>
      </x:c>
      <x:c r="P37" s="37" t="str">
        <x:v>鄰近既有能力：原有 AI Agent 展示多聚焦單一業務任務，未必涵蓋 Agent 全生命週期平台治理。本 App 的獨立邊界是「以任務量、併發與延遲預測所需模型資源」，主要產出為「支援擴容決策」，不是一般登錄、查詢或看板。</x:v>
      </x:c>
      <x:c r="Q37" s="38" t="n">
        <x:v>4</x:v>
      </x:c>
      <x:c r="R37" s="38" t="n">
        <x:v>4</x:v>
      </x:c>
      <x:c r="S37" s="38" t="str">
        <x:v>P0</x:v>
      </x:c>
      <x:c r="T37" s="38" t="n">
        <x:v>8</x:v>
      </x:c>
      <x:c r="U37" s="39" t="str">
        <x:v>Wave 1 平台底座／旗艦</x:v>
      </x:c>
    </x:row>
    <x:row r="38" ht="86" customHeight="1">
      <x:c r="A38" s="36" t="str">
        <x:v>JV-034</x:v>
      </x:c>
      <x:c r="B38" s="37" t="str">
        <x:v>Agent 快取效益分析器</x:v>
      </x:c>
      <x:c r="C38" s="37" t="str">
        <x:v>AI Agent／Agentic AI</x:v>
      </x:c>
      <x:c r="D38" s="37" t="str">
        <x:v>成本與容量</x:v>
      </x:c>
      <x:c r="E38" s="37" t="str">
        <x:v>資訊、數位轉型、各業務部門</x:v>
      </x:c>
      <x:c r="F38" s="37" t="str">
        <x:v>AI 平台負責人、流程主管、產品經理</x:v>
      </x:c>
      <x:c r="G38" s="37" t="str">
        <x:v>現行作法對「找出可重用上下文與答案並計算節省效益」多靠人工彙整、個人經驗或事後處理，難以一致追蹤，造成決策延遲與重工。</x:v>
      </x:c>
      <x:c r="H38" s="37" t="str">
        <x:v>資料／事件接入；找出可重用上下文與答案並計算節省效益；證據與信心呈現；例外分流與人工覆核；降低重複推論成效追蹤；完整稽核軌跡</x:v>
      </x:c>
      <x:c r="I38" s="37" t="str">
        <x:v>異常偵測；因果線索分析；可解釋的建議排序；專門模型焦點：找出可重用上下文與答案並計算節省效益</x:v>
      </x:c>
      <x:c r="J38" s="37" t="str">
        <x:v>依目標自主規劃步驟、呼叫核准工具、遇到例外改走人工佇列，完成後驗證結果並回報</x:v>
      </x:c>
      <x:c r="K38" s="37" t="str">
        <x:v>L4 有護欄自主執行</x:v>
      </x:c>
      <x:c r="L38" s="37" t="str">
        <x:v>Agent 定義、任務軌跡、工具呼叫、權限、成本、評測結果</x:v>
      </x:c>
      <x:c r="M38" s="37" t="str">
        <x:v>JVision Agent OS、IAM、SIEM、ERP、CRM、MCP Server</x:v>
      </x:c>
      <x:c r="N38" s="37" t="str">
        <x:v>一家製造企業同時運行 30 個數位員工，需要安全地建立、測試、派工、監督與持續改善。Demo：匯入一組去識別資料，觸發「找出可重用上下文與答案並計算節省效益」，由系統提出證據、建議與下一步；使用者核准後回寫任務，最後呈現「降低重複推論」前後差異。</x:v>
      </x:c>
      <x:c r="O38" s="37" t="str">
        <x:v>低</x:v>
      </x:c>
      <x:c r="P38" s="37" t="str">
        <x:v>鄰近既有能力：原有 AI Agent 展示多聚焦單一業務任務，未必涵蓋 Agent 全生命週期平台治理。本 App 的獨立邊界是「找出可重用上下文與答案並計算節省效益」，主要產出為「降低重複推論」，不是一般登錄、查詢或看板。</x:v>
      </x:c>
      <x:c r="Q38" s="38" t="n">
        <x:v>5</x:v>
      </x:c>
      <x:c r="R38" s="38" t="n">
        <x:v>4</x:v>
      </x:c>
      <x:c r="S38" s="38" t="str">
        <x:v>P0</x:v>
      </x:c>
      <x:c r="T38" s="38" t="n">
        <x:v>8</x:v>
      </x:c>
      <x:c r="U38" s="39" t="str">
        <x:v>Wave 1 平台底座／旗艦</x:v>
      </x:c>
    </x:row>
    <x:row r="39" ht="86" customHeight="1">
      <x:c r="A39" s="36" t="str">
        <x:v>JV-035</x:v>
      </x:c>
      <x:c r="B39" s="37" t="str">
        <x:v>Agent 成本異常偵測器</x:v>
      </x:c>
      <x:c r="C39" s="37" t="str">
        <x:v>AI Agent／Agentic AI</x:v>
      </x:c>
      <x:c r="D39" s="37" t="str">
        <x:v>成本與容量</x:v>
      </x:c>
      <x:c r="E39" s="37" t="str">
        <x:v>資訊、數位轉型、各業務部門</x:v>
      </x:c>
      <x:c r="F39" s="37" t="str">
        <x:v>AI 平台負責人、流程主管、產品經理</x:v>
      </x:c>
      <x:c r="G39" s="37" t="str">
        <x:v>現行作法對「發現循環呼叫、提示膨脹與昂貴模型誤用」多靠人工彙整、個人經驗或事後處理，難以一致追蹤，造成決策延遲與重工。</x:v>
      </x:c>
      <x:c r="H39" s="37" t="str">
        <x:v>資料／事件接入；發現循環呼叫、提示膨脹與昂貴模型誤用；證據與信心呈現；例外分流與人工覆核；即時止損成效追蹤；完整稽核軌跡</x:v>
      </x:c>
      <x:c r="I39" s="37" t="str">
        <x:v>RAG 檢索與來源引用；規則＋模型混合判斷；矛盾檢查；專門模型焦點：發現循環呼叫、提示膨脹與昂貴模型誤用</x:v>
      </x:c>
      <x:c r="J39" s="37" t="str">
        <x:v>與多個專業 Agent 協作拆解任務，保留交接證據、逾時升級並在失敗時安全回滾</x:v>
      </x:c>
      <x:c r="K39" s="37" t="str">
        <x:v>L2 建議／需核准</x:v>
      </x:c>
      <x:c r="L39" s="37" t="str">
        <x:v>Agent 定義、任務軌跡、工具呼叫、權限、成本、評測結果</x:v>
      </x:c>
      <x:c r="M39" s="37" t="str">
        <x:v>JVision Agent OS、IAM、SIEM、ERP、CRM、MCP Server</x:v>
      </x:c>
      <x:c r="N39" s="37" t="str">
        <x:v>一家製造企業同時運行 30 個數位員工，需要安全地建立、測試、派工、監督與持續改善。Demo：匯入一組去識別資料，觸發「發現循環呼叫、提示膨脹與昂貴模型誤用」，由系統提出證據、建議與下一步；使用者核准後回寫任務，最後呈現「即時止損」前後差異。</x:v>
      </x:c>
      <x:c r="O39" s="37" t="str">
        <x:v>中低</x:v>
      </x:c>
      <x:c r="P39" s="37" t="str">
        <x:v>鄰近既有能力：原有 AI Agent 展示多聚焦單一業務任務，未必涵蓋 Agent 全生命週期平台治理。本 App 的獨立邊界是「發現循環呼叫、提示膨脹與昂貴模型誤用」，主要產出為「即時止損」，不是一般登錄、查詢或看板。</x:v>
      </x:c>
      <x:c r="Q39" s="38" t="n">
        <x:v>5</x:v>
      </x:c>
      <x:c r="R39" s="38" t="n">
        <x:v>5</x:v>
      </x:c>
      <x:c r="S39" s="38" t="str">
        <x:v>P0</x:v>
      </x:c>
      <x:c r="T39" s="38" t="n">
        <x:v>10</x:v>
      </x:c>
      <x:c r="U39" s="39" t="str">
        <x:v>Wave 1 平台底座／旗艦</x:v>
      </x:c>
    </x:row>
    <x:row r="40" ht="86" customHeight="1">
      <x:c r="A40" s="36" t="str">
        <x:v>JV-036</x:v>
      </x:c>
      <x:c r="B40" s="37" t="str">
        <x:v>Agent 記憶生命週期管理器</x:v>
      </x:c>
      <x:c r="C40" s="37" t="str">
        <x:v>AI Agent／Agentic AI</x:v>
      </x:c>
      <x:c r="D40" s="37" t="str">
        <x:v>記憶與知識</x:v>
      </x:c>
      <x:c r="E40" s="37" t="str">
        <x:v>資訊、數位轉型、各業務部門</x:v>
      </x:c>
      <x:c r="F40" s="37" t="str">
        <x:v>AI 平台負責人、流程主管、產品經理</x:v>
      </x:c>
      <x:c r="G40" s="37" t="str">
        <x:v>現行作法對「管理寫入、合併、過期、刪除與法遵保留」多靠人工彙整、個人經驗或事後處理，難以一致追蹤，造成決策延遲與重工。</x:v>
      </x:c>
      <x:c r="H40" s="37" t="str">
        <x:v>資料／事件接入；管理寫入、合併、過期、刪除與法遵保留；證據與信心呈現；例外分流與人工覆核；防止記憶無限累積成效追蹤；完整稽核軌跡</x:v>
      </x:c>
      <x:c r="I40" s="37" t="str">
        <x:v>語意分類與實體抽取；風險／信心評分；具證據的生成與摘要；專門模型焦點：管理寫入、合併、過期、刪除與法遵保留</x:v>
      </x:c>
      <x:c r="J40" s="37" t="str">
        <x:v>持續監測事件，達門檻後建立案件、蒐集證據、指派責任並追蹤結案；高風險動作需人工核准</x:v>
      </x:c>
      <x:c r="K40" s="37" t="str">
        <x:v>L3 可執行／關鍵核准</x:v>
      </x:c>
      <x:c r="L40" s="37" t="str">
        <x:v>Agent 定義、任務軌跡、工具呼叫、權限、成本、評測結果</x:v>
      </x:c>
      <x:c r="M40" s="37" t="str">
        <x:v>JVision Agent OS、IAM、SIEM、ERP、CRM、MCP Server</x:v>
      </x:c>
      <x:c r="N40" s="37" t="str">
        <x:v>一家製造企業同時運行 30 個數位員工，需要安全地建立、測試、派工、監督與持續改善。Demo：匯入一組去識別資料，觸發「管理寫入、合併、過期、刪除與法遵保留」，由系統提出證據、建議與下一步；使用者核准後回寫任務，最後呈現「防止記憶無限累積」前後差異。</x:v>
      </x:c>
      <x:c r="O40" s="37" t="str">
        <x:v>中低</x:v>
      </x:c>
      <x:c r="P40" s="37" t="str">
        <x:v>鄰近既有能力：原有 AI Agent 展示多聚焦單一業務任務，未必涵蓋 Agent 全生命週期平台治理。本 App 的獨立邊界是「管理寫入、合併、過期、刪除與法遵保留」，主要產出為「防止記憶無限累積」，不是一般登錄、查詢或看板。</x:v>
      </x:c>
      <x:c r="Q40" s="38" t="n">
        <x:v>5</x:v>
      </x:c>
      <x:c r="R40" s="38" t="n">
        <x:v>3</x:v>
      </x:c>
      <x:c r="S40" s="38" t="str">
        <x:v>P1</x:v>
      </x:c>
      <x:c r="T40" s="38" t="n">
        <x:v>7</x:v>
      </x:c>
      <x:c r="U40" s="39" t="str">
        <x:v>Wave 2 高價值套件</x:v>
      </x:c>
    </x:row>
    <x:row r="41" ht="86" customHeight="1">
      <x:c r="A41" s="36" t="str">
        <x:v>JV-037</x:v>
      </x:c>
      <x:c r="B41" s="37" t="str">
        <x:v>Agent 記憶衝突仲裁器</x:v>
      </x:c>
      <x:c r="C41" s="37" t="str">
        <x:v>AI Agent／Agentic AI</x:v>
      </x:c>
      <x:c r="D41" s="37" t="str">
        <x:v>記憶與知識</x:v>
      </x:c>
      <x:c r="E41" s="37" t="str">
        <x:v>資訊、數位轉型、各業務部門</x:v>
      </x:c>
      <x:c r="F41" s="37" t="str">
        <x:v>AI 平台負責人、流程主管、產品經理</x:v>
      </x:c>
      <x:c r="G41" s="37" t="str">
        <x:v>現行作法對「識別新舊事實矛盾並要求來源或人工裁決」多靠人工彙整、個人經驗或事後處理，難以一致追蹤，造成決策延遲與重工。</x:v>
      </x:c>
      <x:c r="H41" s="37" t="str">
        <x:v>資料／事件接入；識別新舊事實矛盾並要求來源或人工裁決；證據與信心呈現；例外分流與人工覆核；維持長期記憶可信度成效追蹤；完整稽核軌跡</x:v>
      </x:c>
      <x:c r="I41" s="37" t="str">
        <x:v>預測與情境模擬；多目標最佳化；不確定性呈現；專門模型焦點：識別新舊事實矛盾並要求來源或人工裁決</x:v>
      </x:c>
      <x:c r="J41" s="37" t="str">
        <x:v>定期掃描資料與外部訊號，提出優先序與建議；經核准後同步任務與更新來源系統</x:v>
      </x:c>
      <x:c r="K41" s="37" t="str">
        <x:v>L4 有護欄自主執行</x:v>
      </x:c>
      <x:c r="L41" s="37" t="str">
        <x:v>Agent 定義、任務軌跡、工具呼叫、權限、成本、評測結果</x:v>
      </x:c>
      <x:c r="M41" s="37" t="str">
        <x:v>JVision Agent OS、IAM、SIEM、ERP、CRM、MCP Server</x:v>
      </x:c>
      <x:c r="N41" s="37" t="str">
        <x:v>一家製造企業同時運行 30 個數位員工，需要安全地建立、測試、派工、監督與持續改善。Demo：匯入一組去識別資料，觸發「識別新舊事實矛盾並要求來源或人工裁決」，由系統提出證據、建議與下一步；使用者核准後回寫任務，最後呈現「維持長期記憶可信度」前後差異。</x:v>
      </x:c>
      <x:c r="O41" s="37" t="str">
        <x:v>低</x:v>
      </x:c>
      <x:c r="P41" s="37" t="str">
        <x:v>鄰近既有能力：原有 AI Agent 展示多聚焦單一業務任務，未必涵蓋 Agent 全生命週期平台治理。本 App 的獨立邊界是「識別新舊事實矛盾並要求來源或人工裁決」，主要產出為「維持長期記憶可信度」，不是一般登錄、查詢或看板。</x:v>
      </x:c>
      <x:c r="Q41" s="38" t="n">
        <x:v>5</x:v>
      </x:c>
      <x:c r="R41" s="38" t="n">
        <x:v>4</x:v>
      </x:c>
      <x:c r="S41" s="38" t="str">
        <x:v>P0</x:v>
      </x:c>
      <x:c r="T41" s="38" t="n">
        <x:v>8</x:v>
      </x:c>
      <x:c r="U41" s="39" t="str">
        <x:v>Wave 1 平台底座／旗艦</x:v>
      </x:c>
    </x:row>
    <x:row r="42" ht="86" customHeight="1">
      <x:c r="A42" s="36" t="str">
        <x:v>JV-038</x:v>
      </x:c>
      <x:c r="B42" s="37" t="str">
        <x:v>Agent 情境壓縮器</x:v>
      </x:c>
      <x:c r="C42" s="37" t="str">
        <x:v>AI Agent／Agentic AI</x:v>
      </x:c>
      <x:c r="D42" s="37" t="str">
        <x:v>記憶與知識</x:v>
      </x:c>
      <x:c r="E42" s="37" t="str">
        <x:v>資訊、數位轉型、各業務部門</x:v>
      </x:c>
      <x:c r="F42" s="37" t="str">
        <x:v>AI 平台負責人、流程主管、產品經理</x:v>
      </x:c>
      <x:c r="G42" s="37" t="str">
        <x:v>現行作法對「將長任務歷程壓縮為可驗證的關鍵上下文」多靠人工彙整、個人經驗或事後處理，難以一致追蹤，造成決策延遲與重工。</x:v>
      </x:c>
      <x:c r="H42" s="37" t="str">
        <x:v>資料／事件接入；將長任務歷程壓縮為可驗證的關鍵上下文；證據與信心呈現；例外分流與人工覆核；降低成本且保留脈絡成效追蹤；完整稽核軌跡</x:v>
      </x:c>
      <x:c r="I42" s="37" t="str">
        <x:v>跨文件／跨系統比對；圖譜推理；差異與缺口生成；專門模型焦點：將長任務歷程壓縮為可驗證的關鍵上下文</x:v>
      </x:c>
      <x:c r="J42" s="37" t="str">
        <x:v>以人機協作模式先產生草案與證據包，接受修改後執行核准步驟並建立完整稽核軌跡</x:v>
      </x:c>
      <x:c r="K42" s="37" t="str">
        <x:v>L4 有護欄自主執行</x:v>
      </x:c>
      <x:c r="L42" s="37" t="str">
        <x:v>Agent 定義、任務軌跡、工具呼叫、權限、成本、評測結果</x:v>
      </x:c>
      <x:c r="M42" s="37" t="str">
        <x:v>JVision Agent OS、IAM、SIEM、ERP、CRM、MCP Server</x:v>
      </x:c>
      <x:c r="N42" s="37" t="str">
        <x:v>一家製造企業同時運行 30 個數位員工，需要安全地建立、測試、派工、監督與持續改善。Demo：匯入一組去識別資料，觸發「將長任務歷程壓縮為可驗證的關鍵上下文」，由系統提出證據、建議與下一步；使用者核准後回寫任務，最後呈現「降低成本且保留脈絡」前後差異。</x:v>
      </x:c>
      <x:c r="O42" s="37" t="str">
        <x:v>低</x:v>
      </x:c>
      <x:c r="P42" s="37" t="str">
        <x:v>鄰近既有能力：原有 AI Agent 展示多聚焦單一業務任務，未必涵蓋 Agent 全生命週期平台治理。本 App 的獨立邊界是「將長任務歷程壓縮為可驗證的關鍵上下文」，主要產出為「降低成本且保留脈絡」，不是一般登錄、查詢或看板。</x:v>
      </x:c>
      <x:c r="Q42" s="38" t="n">
        <x:v>5</x:v>
      </x:c>
      <x:c r="R42" s="38" t="n">
        <x:v>4</x:v>
      </x:c>
      <x:c r="S42" s="38" t="str">
        <x:v>P0</x:v>
      </x:c>
      <x:c r="T42" s="38" t="n">
        <x:v>8</x:v>
      </x:c>
      <x:c r="U42" s="39" t="str">
        <x:v>Wave 1 平台底座／旗艦</x:v>
      </x:c>
    </x:row>
    <x:row r="43" ht="86" customHeight="1">
      <x:c r="A43" s="36" t="str">
        <x:v>JV-039</x:v>
      </x:c>
      <x:c r="B43" s="37" t="str">
        <x:v>Agent 個人化邊界控制台</x:v>
      </x:c>
      <x:c r="C43" s="37" t="str">
        <x:v>AI Agent／Agentic AI</x:v>
      </x:c>
      <x:c r="D43" s="37" t="str">
        <x:v>記憶與知識</x:v>
      </x:c>
      <x:c r="E43" s="37" t="str">
        <x:v>資訊、數位轉型、各業務部門</x:v>
      </x:c>
      <x:c r="F43" s="37" t="str">
        <x:v>AI 平台負責人、流程主管、產品經理</x:v>
      </x:c>
      <x:c r="G43" s="37" t="str">
        <x:v>現行作法對「區分個人偏好、企業事實與敏感資訊記憶」多靠人工彙整、個人經驗或事後處理，難以一致追蹤，造成決策延遲與重工。</x:v>
      </x:c>
      <x:c r="H43" s="37" t="str">
        <x:v>資料／事件接入；區分個人偏好、企業事實與敏感資訊記憶；證據與信心呈現；例外分流與人工覆核；避免不當個人化成效追蹤；完整稽核軌跡</x:v>
      </x:c>
      <x:c r="I43" s="37" t="str">
        <x:v>異常偵測；因果線索分析；可解釋的建議排序；專門模型焦點：區分個人偏好、企業事實與敏感資訊記憶</x:v>
      </x:c>
      <x:c r="J43" s="37" t="str">
        <x:v>依目標自主規劃步驟、呼叫核准工具、遇到例外改走人工佇列，完成後驗證結果並回報</x:v>
      </x:c>
      <x:c r="K43" s="37" t="str">
        <x:v>L3 可執行／關鍵核准</x:v>
      </x:c>
      <x:c r="L43" s="37" t="str">
        <x:v>Agent 定義、任務軌跡、工具呼叫、權限、成本、評測結果</x:v>
      </x:c>
      <x:c r="M43" s="37" t="str">
        <x:v>JVision Agent OS、IAM、SIEM、ERP、CRM、MCP Server</x:v>
      </x:c>
      <x:c r="N43" s="37" t="str">
        <x:v>一家製造企業同時運行 30 個數位員工，需要安全地建立、測試、派工、監督與持續改善。Demo：匯入一組去識別資料，觸發「區分個人偏好、企業事實與敏感資訊記憶」，由系統提出證據、建議與下一步；使用者核准後回寫任務，最後呈現「避免不當個人化」前後差異。</x:v>
      </x:c>
      <x:c r="O43" s="37" t="str">
        <x:v>低</x:v>
      </x:c>
      <x:c r="P43" s="37" t="str">
        <x:v>鄰近既有能力：原有 AI Agent 展示多聚焦單一業務任務，未必涵蓋 Agent 全生命週期平台治理。本 App 的獨立邊界是「區分個人偏好、企業事實與敏感資訊記憶」，主要產出為「避免不當個人化」，不是一般登錄、查詢或看板。</x:v>
      </x:c>
      <x:c r="Q43" s="38" t="n">
        <x:v>4</x:v>
      </x:c>
      <x:c r="R43" s="38" t="n">
        <x:v>4</x:v>
      </x:c>
      <x:c r="S43" s="38" t="str">
        <x:v>P1</x:v>
      </x:c>
      <x:c r="T43" s="38" t="n">
        <x:v>9</x:v>
      </x:c>
      <x:c r="U43" s="39" t="str">
        <x:v>Wave 2 高價值套件</x:v>
      </x:c>
    </x:row>
    <x:row r="44" ht="86" customHeight="1">
      <x:c r="A44" s="36" t="str">
        <x:v>JV-040</x:v>
      </x:c>
      <x:c r="B44" s="37" t="str">
        <x:v>Agent 遺忘請求執行器</x:v>
      </x:c>
      <x:c r="C44" s="37" t="str">
        <x:v>AI Agent／Agentic AI</x:v>
      </x:c>
      <x:c r="D44" s="37" t="str">
        <x:v>記憶與知識</x:v>
      </x:c>
      <x:c r="E44" s="37" t="str">
        <x:v>資訊、數位轉型、各業務部門</x:v>
      </x:c>
      <x:c r="F44" s="37" t="str">
        <x:v>AI 平台負責人、流程主管、產品經理</x:v>
      </x:c>
      <x:c r="G44" s="37" t="str">
        <x:v>現行作法對「跨向量庫、日誌與快取追蹤並完成指定刪除」多靠人工彙整、個人經驗或事後處理，難以一致追蹤，造成決策延遲與重工。</x:v>
      </x:c>
      <x:c r="H44" s="37" t="str">
        <x:v>資料／事件接入；跨向量庫、日誌與快取追蹤並完成指定刪除；證據與信心呈現；例外分流與人工覆核；落實資料主體權利成效追蹤；完整稽核軌跡</x:v>
      </x:c>
      <x:c r="I44" s="37" t="str">
        <x:v>RAG 檢索與來源引用；規則＋模型混合判斷；矛盾檢查；專門模型焦點：跨向量庫、日誌與快取追蹤並完成指定刪除</x:v>
      </x:c>
      <x:c r="J44" s="37" t="str">
        <x:v>與多個專業 Agent 協作拆解任務，保留交接證據、逾時升級並在失敗時安全回滾</x:v>
      </x:c>
      <x:c r="K44" s="37" t="str">
        <x:v>L2 建議／需核准</x:v>
      </x:c>
      <x:c r="L44" s="37" t="str">
        <x:v>Agent 定義、任務軌跡、工具呼叫、權限、成本、評測結果</x:v>
      </x:c>
      <x:c r="M44" s="37" t="str">
        <x:v>JVision Agent OS、IAM、SIEM、ERP、CRM、MCP Server</x:v>
      </x:c>
      <x:c r="N44" s="37" t="str">
        <x:v>一家製造企業同時運行 30 個數位員工，需要安全地建立、測試、派工、監督與持續改善。Demo：匯入一組去識別資料，觸發「跨向量庫、日誌與快取追蹤並完成指定刪除」，由系統提出證據、建議與下一步；使用者核准後回寫任務，最後呈現「落實資料主體權利」前後差異。</x:v>
      </x:c>
      <x:c r="O44" s="37" t="str">
        <x:v>中低</x:v>
      </x:c>
      <x:c r="P44" s="37" t="str">
        <x:v>鄰近既有能力：原有 AI Agent 展示多聚焦單一業務任務，未必涵蓋 Agent 全生命週期平台治理。本 App 的獨立邊界是「跨向量庫、日誌與快取追蹤並完成指定刪除」，主要產出為「落實資料主體權利」，不是一般登錄、查詢或看板。</x:v>
      </x:c>
      <x:c r="Q44" s="38" t="n">
        <x:v>5</x:v>
      </x:c>
      <x:c r="R44" s="38" t="n">
        <x:v>5</x:v>
      </x:c>
      <x:c r="S44" s="38" t="str">
        <x:v>P0</x:v>
      </x:c>
      <x:c r="T44" s="38" t="n">
        <x:v>10</x:v>
      </x:c>
      <x:c r="U44" s="39" t="str">
        <x:v>Wave 1 平台底座／旗艦</x:v>
      </x:c>
    </x:row>
    <x:row r="45" ht="86" customHeight="1">
      <x:c r="A45" s="36" t="str">
        <x:v>JV-041</x:v>
      </x:c>
      <x:c r="B45" s="37" t="str">
        <x:v>Agent 版本資產庫</x:v>
      </x:c>
      <x:c r="C45" s="37" t="str">
        <x:v>AI Agent／Agentic AI</x:v>
      </x:c>
      <x:c r="D45" s="37" t="str">
        <x:v>版本與發布</x:v>
      </x:c>
      <x:c r="E45" s="37" t="str">
        <x:v>資訊、數位轉型、各業務部門</x:v>
      </x:c>
      <x:c r="F45" s="37" t="str">
        <x:v>AI 平台負責人、流程主管、產品經理</x:v>
      </x:c>
      <x:c r="G45" s="37" t="str">
        <x:v>現行作法對「統一管理提示、工具、模型、政策與知識版本」多靠人工彙整、個人經驗或事後處理，難以一致追蹤，造成決策延遲與重工。</x:v>
      </x:c>
      <x:c r="H45" s="37" t="str">
        <x:v>資料／事件接入；統一管理提示、工具、模型、政策與知識版本；證據與信心呈現；例外分流與人工覆核；完整重現任一發布成效追蹤；完整稽核軌跡</x:v>
      </x:c>
      <x:c r="I45" s="37" t="str">
        <x:v>語意分類與實體抽取；風險／信心評分；具證據的生成與摘要；專門模型焦點：統一管理提示、工具、模型、政策與知識版本</x:v>
      </x:c>
      <x:c r="J45" s="37" t="str">
        <x:v>持續監測事件，達門檻後建立案件、蒐集證據、指派責任並追蹤結案；高風險動作需人工核准</x:v>
      </x:c>
      <x:c r="K45" s="37" t="str">
        <x:v>L3 可執行／關鍵核准</x:v>
      </x:c>
      <x:c r="L45" s="37" t="str">
        <x:v>Agent 定義、任務軌跡、工具呼叫、權限、成本、評測結果</x:v>
      </x:c>
      <x:c r="M45" s="37" t="str">
        <x:v>JVision Agent OS、IAM、SIEM、ERP、CRM、MCP Server</x:v>
      </x:c>
      <x:c r="N45" s="37" t="str">
        <x:v>一家製造企業同時運行 30 個數位員工，需要安全地建立、測試、派工、監督與持續改善。Demo：匯入一組去識別資料，觸發「統一管理提示、工具、模型、政策與知識版本」，由系統提出證據、建議與下一步；使用者核准後回寫任務，最後呈現「完整重現任一發布」前後差異。</x:v>
      </x:c>
      <x:c r="O45" s="37" t="str">
        <x:v>中低</x:v>
      </x:c>
      <x:c r="P45" s="37" t="str">
        <x:v>鄰近既有能力：原有 AI Agent 展示多聚焦單一業務任務，未必涵蓋 Agent 全生命週期平台治理。本 App 的獨立邊界是「統一管理提示、工具、模型、政策與知識版本」，主要產出為「完整重現任一發布」，不是一般登錄、查詢或看板。</x:v>
      </x:c>
      <x:c r="Q45" s="38" t="n">
        <x:v>5</x:v>
      </x:c>
      <x:c r="R45" s="38" t="n">
        <x:v>3</x:v>
      </x:c>
      <x:c r="S45" s="38" t="str">
        <x:v>P0</x:v>
      </x:c>
      <x:c r="T45" s="38" t="n">
        <x:v>6</x:v>
      </x:c>
      <x:c r="U45" s="39" t="str">
        <x:v>Wave 1 平台底座／旗艦</x:v>
      </x:c>
    </x:row>
    <x:row r="46" ht="86" customHeight="1">
      <x:c r="A46" s="36" t="str">
        <x:v>JV-042</x:v>
      </x:c>
      <x:c r="B46" s="37" t="str">
        <x:v>Agent 灰度發布控制器</x:v>
      </x:c>
      <x:c r="C46" s="37" t="str">
        <x:v>AI Agent／Agentic AI</x:v>
      </x:c>
      <x:c r="D46" s="37" t="str">
        <x:v>版本與發布</x:v>
      </x:c>
      <x:c r="E46" s="37" t="str">
        <x:v>資訊、數位轉型、各業務部門</x:v>
      </x:c>
      <x:c r="F46" s="37" t="str">
        <x:v>AI 平台負責人、流程主管、產品經理</x:v>
      </x:c>
      <x:c r="G46" s="37" t="str">
        <x:v>現行作法對「依部門、風險與流量逐步推出新版本」多靠人工彙整、個人經驗或事後處理，難以一致追蹤，造成決策延遲與重工。</x:v>
      </x:c>
      <x:c r="H46" s="37" t="str">
        <x:v>資料／事件接入；依部門、風險與流量逐步推出新版本；證據與信心呈現；例外分流與人工覆核；降低大規模上線風險成效追蹤；完整稽核軌跡</x:v>
      </x:c>
      <x:c r="I46" s="37" t="str">
        <x:v>預測與情境模擬；多目標最佳化；不確定性呈現；專門模型焦點：依部門、風險與流量逐步推出新版本</x:v>
      </x:c>
      <x:c r="J46" s="37" t="str">
        <x:v>定期掃描資料與外部訊號，提出優先序與建議；經核准後同步任務與更新來源系統</x:v>
      </x:c>
      <x:c r="K46" s="37" t="str">
        <x:v>L4 有護欄自主執行</x:v>
      </x:c>
      <x:c r="L46" s="37" t="str">
        <x:v>Agent 定義、任務軌跡、工具呼叫、權限、成本、評測結果</x:v>
      </x:c>
      <x:c r="M46" s="37" t="str">
        <x:v>JVision Agent OS、IAM、SIEM、ERP、CRM、MCP Server</x:v>
      </x:c>
      <x:c r="N46" s="37" t="str">
        <x:v>一家製造企業同時運行 30 個數位員工，需要安全地建立、測試、派工、監督與持續改善。Demo：匯入一組去識別資料，觸發「依部門、風險與流量逐步推出新版本」，由系統提出證據、建議與下一步；使用者核准後回寫任務，最後呈現「降低大規模上線風險」前後差異。</x:v>
      </x:c>
      <x:c r="O46" s="37" t="str">
        <x:v>低</x:v>
      </x:c>
      <x:c r="P46" s="37" t="str">
        <x:v>鄰近既有能力：原有 AI Agent 展示多聚焦單一業務任務，未必涵蓋 Agent 全生命週期平台治理。本 App 的獨立邊界是「依部門、風險與流量逐步推出新版本」，主要產出為「降低大規模上線風險」，不是一般登錄、查詢或看板。</x:v>
      </x:c>
      <x:c r="Q46" s="38" t="n">
        <x:v>5</x:v>
      </x:c>
      <x:c r="R46" s="38" t="n">
        <x:v>4</x:v>
      </x:c>
      <x:c r="S46" s="38" t="str">
        <x:v>P0</x:v>
      </x:c>
      <x:c r="T46" s="38" t="n">
        <x:v>8</x:v>
      </x:c>
      <x:c r="U46" s="39" t="str">
        <x:v>Wave 1 平台底座／旗艦</x:v>
      </x:c>
    </x:row>
    <x:row r="47" ht="86" customHeight="1">
      <x:c r="A47" s="36" t="str">
        <x:v>JV-043</x:v>
      </x:c>
      <x:c r="B47" s="37" t="str">
        <x:v>Agent 變更影響分析器</x:v>
      </x:c>
      <x:c r="C47" s="37" t="str">
        <x:v>AI Agent／Agentic AI</x:v>
      </x:c>
      <x:c r="D47" s="37" t="str">
        <x:v>版本與發布</x:v>
      </x:c>
      <x:c r="E47" s="37" t="str">
        <x:v>資訊、數位轉型、各業務部門</x:v>
      </x:c>
      <x:c r="F47" s="37" t="str">
        <x:v>AI 平台負責人、流程主管、產品經理</x:v>
      </x:c>
      <x:c r="G47" s="37" t="str">
        <x:v>現行作法對「預測元件變更會影響的任務、使用者與 KPI」多靠人工彙整、個人經驗或事後處理，難以一致追蹤，造成決策延遲與重工。</x:v>
      </x:c>
      <x:c r="H47" s="37" t="str">
        <x:v>資料／事件接入；預測元件變更會影響的任務、使用者與 KPI；證據與信心呈現；例外分流與人工覆核；聚焦測試範圍成效追蹤；完整稽核軌跡</x:v>
      </x:c>
      <x:c r="I47" s="37" t="str">
        <x:v>跨文件／跨系統比對；圖譜推理；差異與缺口生成；專門模型焦點：預測元件變更會影響的任務、使用者與 KPI</x:v>
      </x:c>
      <x:c r="J47" s="37" t="str">
        <x:v>以人機協作模式先產生草案與證據包，接受修改後執行核准步驟並建立完整稽核軌跡</x:v>
      </x:c>
      <x:c r="K47" s="37" t="str">
        <x:v>L4 有護欄自主執行</x:v>
      </x:c>
      <x:c r="L47" s="37" t="str">
        <x:v>Agent 定義、任務軌跡、工具呼叫、權限、成本、評測結果</x:v>
      </x:c>
      <x:c r="M47" s="37" t="str">
        <x:v>JVision Agent OS、IAM、SIEM、ERP、CRM、MCP Server</x:v>
      </x:c>
      <x:c r="N47" s="37" t="str">
        <x:v>一家製造企業同時運行 30 個數位員工，需要安全地建立、測試、派工、監督與持續改善。Demo：匯入一組去識別資料，觸發「預測元件變更會影響的任務、使用者與 KPI」，由系統提出證據、建議與下一步；使用者核准後回寫任務，最後呈現「聚焦測試範圍」前後差異。</x:v>
      </x:c>
      <x:c r="O47" s="37" t="str">
        <x:v>低</x:v>
      </x:c>
      <x:c r="P47" s="37" t="str">
        <x:v>鄰近既有能力：原有 AI Agent 展示多聚焦單一業務任務，未必涵蓋 Agent 全生命週期平台治理。本 App 的獨立邊界是「預測元件變更會影響的任務、使用者與 KPI」，主要產出為「聚焦測試範圍」，不是一般登錄、查詢或看板。</x:v>
      </x:c>
      <x:c r="Q47" s="38" t="n">
        <x:v>5</x:v>
      </x:c>
      <x:c r="R47" s="38" t="n">
        <x:v>4</x:v>
      </x:c>
      <x:c r="S47" s="38" t="str">
        <x:v>P0</x:v>
      </x:c>
      <x:c r="T47" s="38" t="n">
        <x:v>8</x:v>
      </x:c>
      <x:c r="U47" s="39" t="str">
        <x:v>Wave 1 平台底座／旗艦</x:v>
      </x:c>
    </x:row>
    <x:row r="48" ht="86" customHeight="1">
      <x:c r="A48" s="36" t="str">
        <x:v>JV-044</x:v>
      </x:c>
      <x:c r="B48" s="37" t="str">
        <x:v>Agent 自動回滾守門員</x:v>
      </x:c>
      <x:c r="C48" s="37" t="str">
        <x:v>AI Agent／Agentic AI</x:v>
      </x:c>
      <x:c r="D48" s="37" t="str">
        <x:v>版本與發布</x:v>
      </x:c>
      <x:c r="E48" s="37" t="str">
        <x:v>資訊、數位轉型、各業務部門</x:v>
      </x:c>
      <x:c r="F48" s="37" t="str">
        <x:v>AI 平台負責人、流程主管、產品經理</x:v>
      </x:c>
      <x:c r="G48" s="37" t="str">
        <x:v>現行作法對「品質或成本越界時切回穩定版本」多靠人工彙整、個人經驗或事後處理，難以一致追蹤，造成決策延遲與重工。</x:v>
      </x:c>
      <x:c r="H48" s="37" t="str">
        <x:v>資料／事件接入；品質或成本越界時切回穩定版本；證據與信心呈現；例外分流與人工覆核；縮短故障時間成效追蹤；完整稽核軌跡</x:v>
      </x:c>
      <x:c r="I48" s="37" t="str">
        <x:v>異常偵測；因果線索分析；可解釋的建議排序；專門模型焦點：品質或成本越界時切回穩定版本</x:v>
      </x:c>
      <x:c r="J48" s="37" t="str">
        <x:v>依目標自主規劃步驟、呼叫核准工具、遇到例外改走人工佇列，完成後驗證結果並回報</x:v>
      </x:c>
      <x:c r="K48" s="37" t="str">
        <x:v>L4 有護欄自主執行</x:v>
      </x:c>
      <x:c r="L48" s="37" t="str">
        <x:v>Agent 定義、任務軌跡、工具呼叫、權限、成本、評測結果</x:v>
      </x:c>
      <x:c r="M48" s="37" t="str">
        <x:v>JVision Agent OS、IAM、SIEM、ERP、CRM、MCP Server</x:v>
      </x:c>
      <x:c r="N48" s="37" t="str">
        <x:v>一家製造企業同時運行 30 個數位員工，需要安全地建立、測試、派工、監督與持續改善。Demo：匯入一組去識別資料，觸發「品質或成本越界時切回穩定版本」，由系統提出證據、建議與下一步；使用者核准後回寫任務，最後呈現「縮短故障時間」前後差異。</x:v>
      </x:c>
      <x:c r="O48" s="37" t="str">
        <x:v>低</x:v>
      </x:c>
      <x:c r="P48" s="37" t="str">
        <x:v>鄰近既有能力：原有 AI Agent 展示多聚焦單一業務任務，未必涵蓋 Agent 全生命週期平台治理。本 App 的獨立邊界是「品質或成本越界時切回穩定版本」，主要產出為「縮短故障時間」，不是一般登錄、查詢或看板。</x:v>
      </x:c>
      <x:c r="Q48" s="38" t="n">
        <x:v>5</x:v>
      </x:c>
      <x:c r="R48" s="38" t="n">
        <x:v>4</x:v>
      </x:c>
      <x:c r="S48" s="38" t="str">
        <x:v>P0</x:v>
      </x:c>
      <x:c r="T48" s="38" t="n">
        <x:v>8</x:v>
      </x:c>
      <x:c r="U48" s="39" t="str">
        <x:v>Wave 1 平台底座／旗艦</x:v>
      </x:c>
    </x:row>
    <x:row r="49" ht="86" customHeight="1">
      <x:c r="A49" s="36" t="str">
        <x:v>JV-045</x:v>
      </x:c>
      <x:c r="B49" s="37" t="str">
        <x:v>Agent Marketplace 發布台</x:v>
      </x:c>
      <x:c r="C49" s="37" t="str">
        <x:v>AI Agent／Agentic AI</x:v>
      </x:c>
      <x:c r="D49" s="37" t="str">
        <x:v>版本與發布</x:v>
      </x:c>
      <x:c r="E49" s="37" t="str">
        <x:v>資訊、數位轉型、各業務部門</x:v>
      </x:c>
      <x:c r="F49" s="37" t="str">
        <x:v>AI 平台負責人、流程主管、產品經理</x:v>
      </x:c>
      <x:c r="G49" s="37" t="str">
        <x:v>現行作法對「完成封裝、授權、定價、審核與安裝清單」多靠人工彙整、個人經驗或事後處理，難以一致追蹤，造成決策延遲與重工。</x:v>
      </x:c>
      <x:c r="H49" s="37" t="str">
        <x:v>資料／事件接入；完成封裝、授權、定價、審核與安裝清單；證據與信心呈現；例外分流與人工覆核；把內部 Agent 產品化成效追蹤；完整稽核軌跡</x:v>
      </x:c>
      <x:c r="I49" s="37" t="str">
        <x:v>RAG 檢索與來源引用；規則＋模型混合判斷；矛盾檢查；專門模型焦點：完成封裝、授權、定價、審核與安裝清單</x:v>
      </x:c>
      <x:c r="J49" s="37" t="str">
        <x:v>與多個專業 Agent 協作拆解任務，保留交接證據、逾時升級並在失敗時安全回滾</x:v>
      </x:c>
      <x:c r="K49" s="37" t="str">
        <x:v>L2 建議／需核准</x:v>
      </x:c>
      <x:c r="L49" s="37" t="str">
        <x:v>Agent 定義、任務軌跡、工具呼叫、權限、成本、評測結果</x:v>
      </x:c>
      <x:c r="M49" s="37" t="str">
        <x:v>JVision Agent OS、IAM、SIEM、ERP、CRM、MCP Server</x:v>
      </x:c>
      <x:c r="N49" s="37" t="str">
        <x:v>一家製造企業同時運行 30 個數位員工，需要安全地建立、測試、派工、監督與持續改善。Demo：匯入一組去識別資料，觸發「完成封裝、授權、定價、審核與安裝清單」，由系統提出證據、建議與下一步；使用者核准後回寫任務，最後呈現「把內部 Agent 產品化」前後差異。</x:v>
      </x:c>
      <x:c r="O49" s="37" t="str">
        <x:v>中低</x:v>
      </x:c>
      <x:c r="P49" s="37" t="str">
        <x:v>鄰近既有能力：原有 AI Agent 展示多聚焦單一業務任務，未必涵蓋 Agent 全生命週期平台治理。本 App 的獨立邊界是「完成封裝、授權、定價、審核與安裝清單」，主要產出為「把內部 Agent 產品化」，不是一般登錄、查詢或看板。</x:v>
      </x:c>
      <x:c r="Q49" s="38" t="n">
        <x:v>4</x:v>
      </x:c>
      <x:c r="R49" s="38" t="n">
        <x:v>5</x:v>
      </x:c>
      <x:c r="S49" s="38" t="str">
        <x:v>P0</x:v>
      </x:c>
      <x:c r="T49" s="38" t="n">
        <x:v>10</x:v>
      </x:c>
      <x:c r="U49" s="39" t="str">
        <x:v>Wave 1 平台底座／旗艦</x:v>
      </x:c>
    </x:row>
    <x:row r="50" ht="86" customHeight="1">
      <x:c r="A50" s="36" t="str">
        <x:v>JV-046</x:v>
      </x:c>
      <x:c r="B50" s="37" t="str">
        <x:v>企業模型路由中樞</x:v>
      </x:c>
      <x:c r="C50" s="37" t="str">
        <x:v>企業 AI／LLM</x:v>
      </x:c>
      <x:c r="D50" s="37" t="str">
        <x:v>模型選擇</x:v>
      </x:c>
      <x:c r="E50" s="37" t="str">
        <x:v>資訊、數據、數位轉型</x:v>
      </x:c>
      <x:c r="F50" s="37" t="str">
        <x:v>AI 架構師、資料科學家、應用負責人</x:v>
      </x:c>
      <x:c r="G50" s="37" t="str">
        <x:v>現行作法對「依任務、語言、風險、延遲與成本選模」多靠人工彙整、個人經驗或事後處理，難以一致追蹤，造成決策延遲與重工。</x:v>
      </x:c>
      <x:c r="H50" s="37" t="str">
        <x:v>資料／事件接入；依任務、語言、風險、延遲與成本選模；證據與信心呈現；例外分流與人工覆核；讓每次請求使用合適模型成效追蹤；完整稽核軌跡</x:v>
      </x:c>
      <x:c r="I50" s="37" t="str">
        <x:v>語意分類與實體抽取；風險／信心評分；具證據的生成與摘要；專門模型焦點：依任務、語言、風險、延遲與成本選模</x:v>
      </x:c>
      <x:c r="J50" s="37" t="str">
        <x:v>持續監測事件，達門檻後建立案件、蒐集證據、指派責任並追蹤結案；高風險動作需人工核准</x:v>
      </x:c>
      <x:c r="K50" s="37" t="str">
        <x:v>L3 可執行／關鍵核准</x:v>
      </x:c>
      <x:c r="L50" s="37" t="str">
        <x:v>模型請求、提示、回應、評測集、知識片段、使用回饋</x:v>
      </x:c>
      <x:c r="M50" s="37" t="str">
        <x:v>LLM Gateway、向量資料庫、BI、資料湖、IAM、APM</x:v>
      </x:c>
      <x:c r="N50" s="37" t="str">
        <x:v>企業同時使用私有與外部模型，需要兼顧品質、成本、隱私與可用性。Demo：匯入一組去識別資料，觸發「依任務、語言、風險、延遲與成本選模」，由系統提出證據、建議與下一步；使用者核准後回寫任務，最後呈現「讓每次請求使用合適模型」前後差異。</x:v>
      </x:c>
      <x:c r="O50" s="37" t="str">
        <x:v>中低</x:v>
      </x:c>
      <x:c r="P50" s="37" t="str">
        <x:v>鄰近既有能力：原有系統可能使用生成式 AI，但未涵蓋企業級模型營運與品質工程。本 App 的獨立邊界是「依任務、語言、風險、延遲與成本選模」，主要產出為「讓每次請求使用合適模型」，不是一般登錄、查詢或看板。</x:v>
      </x:c>
      <x:c r="Q50" s="38" t="n">
        <x:v>5</x:v>
      </x:c>
      <x:c r="R50" s="38" t="n">
        <x:v>3</x:v>
      </x:c>
      <x:c r="S50" s="38" t="str">
        <x:v>P0</x:v>
      </x:c>
      <x:c r="T50" s="38" t="n">
        <x:v>6</x:v>
      </x:c>
      <x:c r="U50" s="39" t="str">
        <x:v>Wave 1 平台底座／旗艦</x:v>
      </x:c>
    </x:row>
    <x:row r="51" ht="86" customHeight="1">
      <x:c r="A51" s="36" t="str">
        <x:v>JV-047</x:v>
      </x:c>
      <x:c r="B51" s="37" t="str">
        <x:v>模型能力目錄</x:v>
      </x:c>
      <x:c r="C51" s="37" t="str">
        <x:v>企業 AI／LLM</x:v>
      </x:c>
      <x:c r="D51" s="37" t="str">
        <x:v>模型選擇</x:v>
      </x:c>
      <x:c r="E51" s="37" t="str">
        <x:v>資訊、數據、數位轉型</x:v>
      </x:c>
      <x:c r="F51" s="37" t="str">
        <x:v>AI 架構師、資料科學家、應用負責人</x:v>
      </x:c>
      <x:c r="G51" s="37" t="str">
        <x:v>現行作法對「用企業任務標籤管理模型能力、限制與適用情境」多靠人工彙整、個人經驗或事後處理，難以一致追蹤，造成決策延遲與重工。</x:v>
      </x:c>
      <x:c r="H51" s="37" t="str">
        <x:v>資料／事件接入；用企業任務標籤管理模型能力、限制與適用情境；證據與信心呈現；例外分流與人工覆核；降低選型資訊落差成效追蹤；完整稽核軌跡</x:v>
      </x:c>
      <x:c r="I51" s="37" t="str">
        <x:v>預測與情境模擬；多目標最佳化；不確定性呈現；專門模型焦點：用企業任務標籤管理模型能力、限制與適用情境</x:v>
      </x:c>
      <x:c r="J51" s="37" t="str">
        <x:v>定期掃描資料與外部訊號，提出優先序與建議；經核准後同步任務與更新來源系統</x:v>
      </x:c>
      <x:c r="K51" s="37" t="str">
        <x:v>L4 有護欄自主執行</x:v>
      </x:c>
      <x:c r="L51" s="37" t="str">
        <x:v>模型請求、提示、回應、評測集、知識片段、使用回饋</x:v>
      </x:c>
      <x:c r="M51" s="37" t="str">
        <x:v>LLM Gateway、向量資料庫、BI、資料湖、IAM、APM</x:v>
      </x:c>
      <x:c r="N51" s="37" t="str">
        <x:v>企業同時使用私有與外部模型，需要兼顧品質、成本、隱私與可用性。Demo：匯入一組去識別資料，觸發「用企業任務標籤管理模型能力、限制與適用情境」，由系統提出證據、建議與下一步；使用者核准後回寫任務，最後呈現「降低選型資訊落差」前後差異。</x:v>
      </x:c>
      <x:c r="O51" s="37" t="str">
        <x:v>低</x:v>
      </x:c>
      <x:c r="P51" s="37" t="str">
        <x:v>鄰近既有能力：原有系統可能使用生成式 AI，但未涵蓋企業級模型營運與品質工程。本 App 的獨立邊界是「用企業任務標籤管理模型能力、限制與適用情境」，主要產出為「降低選型資訊落差」，不是一般登錄、查詢或看板。</x:v>
      </x:c>
      <x:c r="Q51" s="38" t="n">
        <x:v>5</x:v>
      </x:c>
      <x:c r="R51" s="38" t="n">
        <x:v>4</x:v>
      </x:c>
      <x:c r="S51" s="38" t="str">
        <x:v>P0</x:v>
      </x:c>
      <x:c r="T51" s="38" t="n">
        <x:v>8</x:v>
      </x:c>
      <x:c r="U51" s="39" t="str">
        <x:v>Wave 1 平台底座／旗艦</x:v>
      </x:c>
    </x:row>
    <x:row r="52" ht="86" customHeight="1">
      <x:c r="A52" s="36" t="str">
        <x:v>JV-048</x:v>
      </x:c>
      <x:c r="B52" s="37" t="str">
        <x:v>模型漂移監測站</x:v>
      </x:c>
      <x:c r="C52" s="37" t="str">
        <x:v>企業 AI／LLM</x:v>
      </x:c>
      <x:c r="D52" s="37" t="str">
        <x:v>模型選擇</x:v>
      </x:c>
      <x:c r="E52" s="37" t="str">
        <x:v>資訊、數據、數位轉型</x:v>
      </x:c>
      <x:c r="F52" s="37" t="str">
        <x:v>AI 架構師、資料科學家、應用負責人</x:v>
      </x:c>
      <x:c r="G52" s="37" t="str">
        <x:v>現行作法對「追蹤供應商模型更新後的答案與行為差異」多靠人工彙整、個人經驗或事後處理，難以一致追蹤，造成決策延遲與重工。</x:v>
      </x:c>
      <x:c r="H52" s="37" t="str">
        <x:v>資料／事件接入；追蹤供應商模型更新後的答案與行為差異；證據與信心呈現；例外分流與人工覆核；提前發現品質變動成效追蹤；完整稽核軌跡</x:v>
      </x:c>
      <x:c r="I52" s="37" t="str">
        <x:v>跨文件／跨系統比對；圖譜推理；差異與缺口生成；專門模型焦點：追蹤供應商模型更新後的答案與行為差異</x:v>
      </x:c>
      <x:c r="J52" s="37" t="str">
        <x:v>以人機協作模式先產生草案與證據包，接受修改後執行核准步驟並建立完整稽核軌跡</x:v>
      </x:c>
      <x:c r="K52" s="37" t="str">
        <x:v>L4 有護欄自主執行</x:v>
      </x:c>
      <x:c r="L52" s="37" t="str">
        <x:v>模型請求、提示、回應、評測集、知識片段、使用回饋</x:v>
      </x:c>
      <x:c r="M52" s="37" t="str">
        <x:v>LLM Gateway、向量資料庫、BI、資料湖、IAM、APM</x:v>
      </x:c>
      <x:c r="N52" s="37" t="str">
        <x:v>企業同時使用私有與外部模型，需要兼顧品質、成本、隱私與可用性。Demo：匯入一組去識別資料，觸發「追蹤供應商模型更新後的答案與行為差異」，由系統提出證據、建議與下一步；使用者核准後回寫任務，最後呈現「提前發現品質變動」前後差異。</x:v>
      </x:c>
      <x:c r="O52" s="37" t="str">
        <x:v>低</x:v>
      </x:c>
      <x:c r="P52" s="37" t="str">
        <x:v>鄰近既有能力：原有系統可能使用生成式 AI，但未涵蓋企業級模型營運與品質工程。本 App 的獨立邊界是「追蹤供應商模型更新後的答案與行為差異」，主要產出為「提前發現品質變動」，不是一般登錄、查詢或看板。</x:v>
      </x:c>
      <x:c r="Q52" s="38" t="n">
        <x:v>5</x:v>
      </x:c>
      <x:c r="R52" s="38" t="n">
        <x:v>4</x:v>
      </x:c>
      <x:c r="S52" s="38" t="str">
        <x:v>P0</x:v>
      </x:c>
      <x:c r="T52" s="38" t="n">
        <x:v>8</x:v>
      </x:c>
      <x:c r="U52" s="39" t="str">
        <x:v>Wave 1 平台底座／旗艦</x:v>
      </x:c>
    </x:row>
    <x:row r="53" ht="86" customHeight="1">
      <x:c r="A53" s="36" t="str">
        <x:v>JV-049</x:v>
      </x:c>
      <x:c r="B53" s="37" t="str">
        <x:v>私有模型就緒度評估器</x:v>
      </x:c>
      <x:c r="C53" s="37" t="str">
        <x:v>企業 AI／LLM</x:v>
      </x:c>
      <x:c r="D53" s="37" t="str">
        <x:v>模型選擇</x:v>
      </x:c>
      <x:c r="E53" s="37" t="str">
        <x:v>資訊、數據、數位轉型</x:v>
      </x:c>
      <x:c r="F53" s="37" t="str">
        <x:v>AI 架構師、資料科學家、應用負責人</x:v>
      </x:c>
      <x:c r="G53" s="37" t="str">
        <x:v>現行作法對「評估資料、算力、人才與維運條件」多靠人工彙整、個人經驗或事後處理，難以一致追蹤，造成決策延遲與重工。</x:v>
      </x:c>
      <x:c r="H53" s="37" t="str">
        <x:v>資料／事件接入；評估資料、算力、人才與維運條件；證據與信心呈現；例外分流與人工覆核；避免不成熟的私有化投資成效追蹤；完整稽核軌跡</x:v>
      </x:c>
      <x:c r="I53" s="37" t="str">
        <x:v>異常偵測；因果線索分析；可解釋的建議排序；專門模型焦點：評估資料、算力、人才與維運條件</x:v>
      </x:c>
      <x:c r="J53" s="37" t="str">
        <x:v>依目標自主規劃步驟、呼叫核准工具、遇到例外改走人工佇列，完成後驗證結果並回報</x:v>
      </x:c>
      <x:c r="K53" s="37" t="str">
        <x:v>L4 有護欄自主執行</x:v>
      </x:c>
      <x:c r="L53" s="37" t="str">
        <x:v>模型請求、提示、回應、評測集、知識片段、使用回饋</x:v>
      </x:c>
      <x:c r="M53" s="37" t="str">
        <x:v>LLM Gateway、向量資料庫、BI、資料湖、IAM、APM</x:v>
      </x:c>
      <x:c r="N53" s="37" t="str">
        <x:v>企業同時使用私有與外部模型，需要兼顧品質、成本、隱私與可用性。Demo：匯入一組去識別資料，觸發「評估資料、算力、人才與維運條件」，由系統提出證據、建議與下一步；使用者核准後回寫任務，最後呈現「避免不成熟的私有化投資」前後差異。</x:v>
      </x:c>
      <x:c r="O53" s="37" t="str">
        <x:v>低</x:v>
      </x:c>
      <x:c r="P53" s="37" t="str">
        <x:v>鄰近既有能力：原有系統可能使用生成式 AI，但未涵蓋企業級模型營運與品質工程。本 App 的獨立邊界是「評估資料、算力、人才與維運條件」，主要產出為「避免不成熟的私有化投資」，不是一般登錄、查詢或看板。</x:v>
      </x:c>
      <x:c r="Q53" s="38" t="n">
        <x:v>4</x:v>
      </x:c>
      <x:c r="R53" s="38" t="n">
        <x:v>4</x:v>
      </x:c>
      <x:c r="S53" s="38" t="str">
        <x:v>P0</x:v>
      </x:c>
      <x:c r="T53" s="38" t="n">
        <x:v>8</x:v>
      </x:c>
      <x:c r="U53" s="39" t="str">
        <x:v>Wave 1 平台底座／旗艦</x:v>
      </x:c>
    </x:row>
    <x:row r="54" ht="86" customHeight="1">
      <x:c r="A54" s="36" t="str">
        <x:v>JV-050</x:v>
      </x:c>
      <x:c r="B54" s="37" t="str">
        <x:v>模型退場影響規劃器</x:v>
      </x:c>
      <x:c r="C54" s="37" t="str">
        <x:v>企業 AI／LLM</x:v>
      </x:c>
      <x:c r="D54" s="37" t="str">
        <x:v>模型選擇</x:v>
      </x:c>
      <x:c r="E54" s="37" t="str">
        <x:v>資訊、數據、數位轉型</x:v>
      </x:c>
      <x:c r="F54" s="37" t="str">
        <x:v>AI 架構師、資料科學家、應用負責人</x:v>
      </x:c>
      <x:c r="G54" s="37" t="str">
        <x:v>現行作法對「盤點停用模型的應用依賴與遷移路徑」多靠人工彙整、個人經驗或事後處理，難以一致追蹤，造成決策延遲與重工。</x:v>
      </x:c>
      <x:c r="H54" s="37" t="str">
        <x:v>資料／事件接入；盤點停用模型的應用依賴與遷移路徑；證據與信心呈現；例外分流與人工覆核；降低供應商版本退場衝擊成效追蹤；完整稽核軌跡</x:v>
      </x:c>
      <x:c r="I54" s="37" t="str">
        <x:v>RAG 檢索與來源引用；規則＋模型混合判斷；矛盾檢查；專門模型焦點：盤點停用模型的應用依賴與遷移路徑</x:v>
      </x:c>
      <x:c r="J54" s="37" t="str">
        <x:v>與多個專業 Agent 協作拆解任務，保留交接證據、逾時升級並在失敗時安全回滾</x:v>
      </x:c>
      <x:c r="K54" s="37" t="str">
        <x:v>L2 建議／需核准</x:v>
      </x:c>
      <x:c r="L54" s="37" t="str">
        <x:v>模型請求、提示、回應、評測集、知識片段、使用回饋</x:v>
      </x:c>
      <x:c r="M54" s="37" t="str">
        <x:v>LLM Gateway、向量資料庫、BI、資料湖、IAM、APM</x:v>
      </x:c>
      <x:c r="N54" s="37" t="str">
        <x:v>企業同時使用私有與外部模型，需要兼顧品質、成本、隱私與可用性。Demo：匯入一組去識別資料，觸發「盤點停用模型的應用依賴與遷移路徑」，由系統提出證據、建議與下一步；使用者核准後回寫任務，最後呈現「降低供應商版本退場衝擊」前後差異。</x:v>
      </x:c>
      <x:c r="O54" s="37" t="str">
        <x:v>中低</x:v>
      </x:c>
      <x:c r="P54" s="37" t="str">
        <x:v>鄰近既有能力：原有系統可能使用生成式 AI，但未涵蓋企業級模型營運與品質工程。本 App 的獨立邊界是「盤點停用模型的應用依賴與遷移路徑」，主要產出為「降低供應商版本退場衝擊」，不是一般登錄、查詢或看板。</x:v>
      </x:c>
      <x:c r="Q54" s="38" t="n">
        <x:v>5</x:v>
      </x:c>
      <x:c r="R54" s="38" t="n">
        <x:v>5</x:v>
      </x:c>
      <x:c r="S54" s="38" t="str">
        <x:v>P0</x:v>
      </x:c>
      <x:c r="T54" s="38" t="n">
        <x:v>10</x:v>
      </x:c>
      <x:c r="U54" s="39" t="str">
        <x:v>Wave 1 平台底座／旗艦</x:v>
      </x:c>
    </x:row>
    <x:row r="55" ht="86" customHeight="1">
      <x:c r="A55" s="36" t="str">
        <x:v>JV-051</x:v>
      </x:c>
      <x:c r="B55" s="37" t="str">
        <x:v>企業 Prompt 資產庫</x:v>
      </x:c>
      <x:c r="C55" s="37" t="str">
        <x:v>企業 AI／LLM</x:v>
      </x:c>
      <x:c r="D55" s="37" t="str">
        <x:v>提示工程</x:v>
      </x:c>
      <x:c r="E55" s="37" t="str">
        <x:v>資訊、數據、數位轉型</x:v>
      </x:c>
      <x:c r="F55" s="37" t="str">
        <x:v>AI 架構師、資料科學家、應用負責人</x:v>
      </x:c>
      <x:c r="G55" s="37" t="str">
        <x:v>現行作法對「管理可重用提示元件、參數、版本與擁有者」多靠人工彙整、個人經驗或事後處理，難以一致追蹤，造成決策延遲與重工。</x:v>
      </x:c>
      <x:c r="H55" s="37" t="str">
        <x:v>資料／事件接入；管理可重用提示元件、參數、版本與擁有者；證據與信心呈現；例外分流與人工覆核；把提示變成治理資產成效追蹤；完整稽核軌跡</x:v>
      </x:c>
      <x:c r="I55" s="37" t="str">
        <x:v>語意分類與實體抽取；風險／信心評分；具證據的生成與摘要；專門模型焦點：管理可重用提示元件、參數、版本與擁有者</x:v>
      </x:c>
      <x:c r="J55" s="37" t="str">
        <x:v>持續監測事件，達門檻後建立案件、蒐集證據、指派責任並追蹤結案；高風險動作需人工核准</x:v>
      </x:c>
      <x:c r="K55" s="37" t="str">
        <x:v>L3 可執行／關鍵核准</x:v>
      </x:c>
      <x:c r="L55" s="37" t="str">
        <x:v>模型請求、提示、回應、評測集、知識片段、使用回饋</x:v>
      </x:c>
      <x:c r="M55" s="37" t="str">
        <x:v>LLM Gateway、向量資料庫、BI、資料湖、IAM、APM</x:v>
      </x:c>
      <x:c r="N55" s="37" t="str">
        <x:v>企業同時使用私有與外部模型，需要兼顧品質、成本、隱私與可用性。Demo：匯入一組去識別資料，觸發「管理可重用提示元件、參數、版本與擁有者」，由系統提出證據、建議與下一步；使用者核准後回寫任務，最後呈現「把提示變成治理資產」前後差異。</x:v>
      </x:c>
      <x:c r="O55" s="37" t="str">
        <x:v>中低</x:v>
      </x:c>
      <x:c r="P55" s="37" t="str">
        <x:v>鄰近既有能力：原有系統可能使用生成式 AI，但未涵蓋企業級模型營運與品質工程。本 App 的獨立邊界是「管理可重用提示元件、參數、版本與擁有者」，主要產出為「把提示變成治理資產」，不是一般登錄、查詢或看板。</x:v>
      </x:c>
      <x:c r="Q55" s="38" t="n">
        <x:v>5</x:v>
      </x:c>
      <x:c r="R55" s="38" t="n">
        <x:v>3</x:v>
      </x:c>
      <x:c r="S55" s="38" t="str">
        <x:v>P1</x:v>
      </x:c>
      <x:c r="T55" s="38" t="n">
        <x:v>7</x:v>
      </x:c>
      <x:c r="U55" s="39" t="str">
        <x:v>Wave 2 高價值套件</x:v>
      </x:c>
    </x:row>
    <x:row r="56" ht="86" customHeight="1">
      <x:c r="A56" s="36" t="str">
        <x:v>JV-052</x:v>
      </x:c>
      <x:c r="B56" s="37" t="str">
        <x:v>Prompt 單元測試器</x:v>
      </x:c>
      <x:c r="C56" s="37" t="str">
        <x:v>企業 AI／LLM</x:v>
      </x:c>
      <x:c r="D56" s="37" t="str">
        <x:v>提示工程</x:v>
      </x:c>
      <x:c r="E56" s="37" t="str">
        <x:v>資訊、數據、數位轉型</x:v>
      </x:c>
      <x:c r="F56" s="37" t="str">
        <x:v>AI 架構師、資料科學家、應用負責人</x:v>
      </x:c>
      <x:c r="G56" s="37" t="str">
        <x:v>現行作法對「以輸入輸出契約測試提示行為」多靠人工彙整、個人經驗或事後處理，難以一致追蹤，造成決策延遲與重工。</x:v>
      </x:c>
      <x:c r="H56" s="37" t="str">
        <x:v>資料／事件接入；以輸入輸出契約測試提示行為；證據與信心呈現；例外分流與人工覆核；提高修改安全性成效追蹤；完整稽核軌跡</x:v>
      </x:c>
      <x:c r="I56" s="37" t="str">
        <x:v>預測與情境模擬；多目標最佳化；不確定性呈現；專門模型焦點：以輸入輸出契約測試提示行為</x:v>
      </x:c>
      <x:c r="J56" s="37" t="str">
        <x:v>定期掃描資料與外部訊號，提出優先序與建議；經核准後同步任務與更新來源系統</x:v>
      </x:c>
      <x:c r="K56" s="37" t="str">
        <x:v>L4 有護欄自主執行</x:v>
      </x:c>
      <x:c r="L56" s="37" t="str">
        <x:v>模型請求、提示、回應、評測集、知識片段、使用回饋</x:v>
      </x:c>
      <x:c r="M56" s="37" t="str">
        <x:v>LLM Gateway、向量資料庫、BI、資料湖、IAM、APM</x:v>
      </x:c>
      <x:c r="N56" s="37" t="str">
        <x:v>企業同時使用私有與外部模型，需要兼顧品質、成本、隱私與可用性。Demo：匯入一組去識別資料，觸發「以輸入輸出契約測試提示行為」，由系統提出證據、建議與下一步；使用者核准後回寫任務，最後呈現「提高修改安全性」前後差異。</x:v>
      </x:c>
      <x:c r="O56" s="37" t="str">
        <x:v>低</x:v>
      </x:c>
      <x:c r="P56" s="37" t="str">
        <x:v>鄰近既有能力：原有系統可能使用生成式 AI，但未涵蓋企業級模型營運與品質工程。本 App 的獨立邊界是「以輸入輸出契約測試提示行為」，主要產出為「提高修改安全性」，不是一般登錄、查詢或看板。</x:v>
      </x:c>
      <x:c r="Q56" s="38" t="n">
        <x:v>5</x:v>
      </x:c>
      <x:c r="R56" s="38" t="n">
        <x:v>4</x:v>
      </x:c>
      <x:c r="S56" s="38" t="str">
        <x:v>P0</x:v>
      </x:c>
      <x:c r="T56" s="38" t="n">
        <x:v>8</x:v>
      </x:c>
      <x:c r="U56" s="39" t="str">
        <x:v>Wave 1 平台底座／旗艦</x:v>
      </x:c>
    </x:row>
    <x:row r="57" ht="86" customHeight="1">
      <x:c r="A57" s="36" t="str">
        <x:v>JV-053</x:v>
      </x:c>
      <x:c r="B57" s="37" t="str">
        <x:v>Prompt 可讀性重構器</x:v>
      </x:c>
      <x:c r="C57" s="37" t="str">
        <x:v>企業 AI／LLM</x:v>
      </x:c>
      <x:c r="D57" s="37" t="str">
        <x:v>提示工程</x:v>
      </x:c>
      <x:c r="E57" s="37" t="str">
        <x:v>資訊、數據、數位轉型</x:v>
      </x:c>
      <x:c r="F57" s="37" t="str">
        <x:v>AI 架構師、資料科學家、應用負責人</x:v>
      </x:c>
      <x:c r="G57" s="37" t="str">
        <x:v>現行作法對「偵測歧義、衝突與重複規則並提出重構」多靠人工彙整、個人經驗或事後處理，難以一致追蹤，造成決策延遲與重工。</x:v>
      </x:c>
      <x:c r="H57" s="37" t="str">
        <x:v>資料／事件接入；偵測歧義、衝突與重複規則並提出重構；證據與信心呈現；例外分流與人工覆核；降低提示維護成本成效追蹤；完整稽核軌跡</x:v>
      </x:c>
      <x:c r="I57" s="37" t="str">
        <x:v>跨文件／跨系統比對；圖譜推理；差異與缺口生成；專門模型焦點：偵測歧義、衝突與重複規則並提出重構</x:v>
      </x:c>
      <x:c r="J57" s="37" t="str">
        <x:v>以人機協作模式先產生草案與證據包，接受修改後執行核准步驟並建立完整稽核軌跡</x:v>
      </x:c>
      <x:c r="K57" s="37" t="str">
        <x:v>L4 有護欄自主執行</x:v>
      </x:c>
      <x:c r="L57" s="37" t="str">
        <x:v>模型請求、提示、回應、評測集、知識片段、使用回饋</x:v>
      </x:c>
      <x:c r="M57" s="37" t="str">
        <x:v>LLM Gateway、向量資料庫、BI、資料湖、IAM、APM</x:v>
      </x:c>
      <x:c r="N57" s="37" t="str">
        <x:v>企業同時使用私有與外部模型，需要兼顧品質、成本、隱私與可用性。Demo：匯入一組去識別資料，觸發「偵測歧義、衝突與重複規則並提出重構」，由系統提出證據、建議與下一步；使用者核准後回寫任務，最後呈現「降低提示維護成本」前後差異。</x:v>
      </x:c>
      <x:c r="O57" s="37" t="str">
        <x:v>低</x:v>
      </x:c>
      <x:c r="P57" s="37" t="str">
        <x:v>鄰近既有能力：原有系統可能使用生成式 AI，但未涵蓋企業級模型營運與品質工程。本 App 的獨立邊界是「偵測歧義、衝突與重複規則並提出重構」，主要產出為「降低提示維護成本」，不是一般登錄、查詢或看板。</x:v>
      </x:c>
      <x:c r="Q57" s="38" t="n">
        <x:v>5</x:v>
      </x:c>
      <x:c r="R57" s="38" t="n">
        <x:v>4</x:v>
      </x:c>
      <x:c r="S57" s="38" t="str">
        <x:v>P0</x:v>
      </x:c>
      <x:c r="T57" s="38" t="n">
        <x:v>8</x:v>
      </x:c>
      <x:c r="U57" s="39" t="str">
        <x:v>Wave 1 平台底座／旗艦</x:v>
      </x:c>
    </x:row>
    <x:row r="58" ht="86" customHeight="1">
      <x:c r="A58" s="36" t="str">
        <x:v>JV-054</x:v>
      </x:c>
      <x:c r="B58" s="37" t="str">
        <x:v>Prompt 在地化驗證器</x:v>
      </x:c>
      <x:c r="C58" s="37" t="str">
        <x:v>企業 AI／LLM</x:v>
      </x:c>
      <x:c r="D58" s="37" t="str">
        <x:v>提示工程</x:v>
      </x:c>
      <x:c r="E58" s="37" t="str">
        <x:v>資訊、數據、數位轉型</x:v>
      </x:c>
      <x:c r="F58" s="37" t="str">
        <x:v>AI 架構師、資料科學家、應用負責人</x:v>
      </x:c>
      <x:c r="G58" s="37" t="str">
        <x:v>現行作法對「驗證繁中、英文、日文等語言語意一致性」多靠人工彙整、個人經驗或事後處理，難以一致追蹤，造成決策延遲與重工。</x:v>
      </x:c>
      <x:c r="H58" s="37" t="str">
        <x:v>資料／事件接入；驗證繁中、英文、日文等語言語意一致性；證據與信心呈現；例外分流與人工覆核；支援多國部署成效追蹤；完整稽核軌跡</x:v>
      </x:c>
      <x:c r="I58" s="37" t="str">
        <x:v>異常偵測；因果線索分析；可解釋的建議排序；專門模型焦點：驗證繁中、英文、日文等語言語意一致性</x:v>
      </x:c>
      <x:c r="J58" s="37" t="str">
        <x:v>依目標自主規劃步驟、呼叫核准工具、遇到例外改走人工佇列，完成後驗證結果並回報</x:v>
      </x:c>
      <x:c r="K58" s="37" t="str">
        <x:v>L3 可執行／關鍵核准</x:v>
      </x:c>
      <x:c r="L58" s="37" t="str">
        <x:v>模型請求、提示、回應、評測集、知識片段、使用回饋</x:v>
      </x:c>
      <x:c r="M58" s="37" t="str">
        <x:v>LLM Gateway、向量資料庫、BI、資料湖、IAM、APM</x:v>
      </x:c>
      <x:c r="N58" s="37" t="str">
        <x:v>企業同時使用私有與外部模型，需要兼顧品質、成本、隱私與可用性。Demo：匯入一組去識別資料，觸發「驗證繁中、英文、日文等語言語意一致性」，由系統提出證據、建議與下一步；使用者核准後回寫任務，最後呈現「支援多國部署」前後差異。</x:v>
      </x:c>
      <x:c r="O58" s="37" t="str">
        <x:v>低</x:v>
      </x:c>
      <x:c r="P58" s="37" t="str">
        <x:v>鄰近既有能力：原有系統可能使用生成式 AI，但未涵蓋企業級模型營運與品質工程。本 App 的獨立邊界是「驗證繁中、英文、日文等語言語意一致性」，主要產出為「支援多國部署」，不是一般登錄、查詢或看板。</x:v>
      </x:c>
      <x:c r="Q58" s="38" t="n">
        <x:v>5</x:v>
      </x:c>
      <x:c r="R58" s="38" t="n">
        <x:v>4</x:v>
      </x:c>
      <x:c r="S58" s="38" t="str">
        <x:v>P1</x:v>
      </x:c>
      <x:c r="T58" s="38" t="n">
        <x:v>9</x:v>
      </x:c>
      <x:c r="U58" s="39" t="str">
        <x:v>Wave 2 高價值套件</x:v>
      </x:c>
    </x:row>
    <x:row r="59" ht="86" customHeight="1">
      <x:c r="A59" s="36" t="str">
        <x:v>JV-055</x:v>
      </x:c>
      <x:c r="B59" s="37" t="str">
        <x:v>Prompt 效能剖析器</x:v>
      </x:c>
      <x:c r="C59" s="37" t="str">
        <x:v>企業 AI／LLM</x:v>
      </x:c>
      <x:c r="D59" s="37" t="str">
        <x:v>提示工程</x:v>
      </x:c>
      <x:c r="E59" s="37" t="str">
        <x:v>資訊、數據、數位轉型</x:v>
      </x:c>
      <x:c r="F59" s="37" t="str">
        <x:v>AI 架構師、資料科學家、應用負責人</x:v>
      </x:c>
      <x:c r="G59" s="37" t="str">
        <x:v>現行作法對「分析 Token、延遲與各段指令貢獻」多靠人工彙整、個人經驗或事後處理，難以一致追蹤，造成決策延遲與重工。</x:v>
      </x:c>
      <x:c r="H59" s="37" t="str">
        <x:v>資料／事件接入；分析 Token、延遲與各段指令貢獻；證據與信心呈現；例外分流與人工覆核；找出可縮減上下文成效追蹤；完整稽核軌跡</x:v>
      </x:c>
      <x:c r="I59" s="37" t="str">
        <x:v>RAG 檢索與來源引用；規則＋模型混合判斷；矛盾檢查；專門模型焦點：分析 Token、延遲與各段指令貢獻</x:v>
      </x:c>
      <x:c r="J59" s="37" t="str">
        <x:v>與多個專業 Agent 協作拆解任務，保留交接證據、逾時升級並在失敗時安全回滾</x:v>
      </x:c>
      <x:c r="K59" s="37" t="str">
        <x:v>L2 建議／需核准</x:v>
      </x:c>
      <x:c r="L59" s="37" t="str">
        <x:v>模型請求、提示、回應、評測集、知識片段、使用回饋</x:v>
      </x:c>
      <x:c r="M59" s="37" t="str">
        <x:v>LLM Gateway、向量資料庫、BI、資料湖、IAM、APM</x:v>
      </x:c>
      <x:c r="N59" s="37" t="str">
        <x:v>企業同時使用私有與外部模型，需要兼顧品質、成本、隱私與可用性。Demo：匯入一組去識別資料，觸發「分析 Token、延遲與各段指令貢獻」，由系統提出證據、建議與下一步；使用者核准後回寫任務，最後呈現「找出可縮減上下文」前後差異。</x:v>
      </x:c>
      <x:c r="O59" s="37" t="str">
        <x:v>中低</x:v>
      </x:c>
      <x:c r="P59" s="37" t="str">
        <x:v>鄰近既有能力：原有系統可能使用生成式 AI，但未涵蓋企業級模型營運與品質工程。本 App 的獨立邊界是「分析 Token、延遲與各段指令貢獻」，主要產出為「找出可縮減上下文」，不是一般登錄、查詢或看板。</x:v>
      </x:c>
      <x:c r="Q59" s="38" t="n">
        <x:v>4</x:v>
      </x:c>
      <x:c r="R59" s="38" t="n">
        <x:v>5</x:v>
      </x:c>
      <x:c r="S59" s="38" t="str">
        <x:v>P0</x:v>
      </x:c>
      <x:c r="T59" s="38" t="n">
        <x:v>10</x:v>
      </x:c>
      <x:c r="U59" s="39" t="str">
        <x:v>Wave 1 平台底座／旗艦</x:v>
      </x:c>
    </x:row>
    <x:row r="60" ht="86" customHeight="1">
      <x:c r="A60" s="36" t="str">
        <x:v>JV-056</x:v>
      </x:c>
      <x:c r="B60" s="37" t="str">
        <x:v>Context 預算配置器</x:v>
      </x:c>
      <x:c r="C60" s="37" t="str">
        <x:v>企業 AI／LLM</x:v>
      </x:c>
      <x:c r="D60" s="37" t="str">
        <x:v>Context 工程</x:v>
      </x:c>
      <x:c r="E60" s="37" t="str">
        <x:v>資訊、數據、數位轉型</x:v>
      </x:c>
      <x:c r="F60" s="37" t="str">
        <x:v>AI 架構師、資料科學家、應用負責人</x:v>
      </x:c>
      <x:c r="G60" s="37" t="str">
        <x:v>現行作法對「在系統指令、歷史、知識與工具結果間分配視窗」多靠人工彙整、個人經驗或事後處理，難以一致追蹤，造成決策延遲與重工。</x:v>
      </x:c>
      <x:c r="H60" s="37" t="str">
        <x:v>資料／事件接入；在系統指令、歷史、知識與工具結果間分配視窗；證據與信心呈現；例外分流與人工覆核；避免關鍵資訊被截斷成效追蹤；完整稽核軌跡</x:v>
      </x:c>
      <x:c r="I60" s="37" t="str">
        <x:v>語意分類與實體抽取；風險／信心評分；具證據的生成與摘要；專門模型焦點：在系統指令、歷史、知識與工具結果間分配視窗</x:v>
      </x:c>
      <x:c r="J60" s="37" t="str">
        <x:v>持續監測事件，達門檻後建立案件、蒐集證據、指派責任並追蹤結案；高風險動作需人工核准</x:v>
      </x:c>
      <x:c r="K60" s="37" t="str">
        <x:v>L3 可執行／關鍵核准</x:v>
      </x:c>
      <x:c r="L60" s="37" t="str">
        <x:v>模型請求、提示、回應、評測集、知識片段、使用回饋</x:v>
      </x:c>
      <x:c r="M60" s="37" t="str">
        <x:v>LLM Gateway、向量資料庫、BI、資料湖、IAM、APM</x:v>
      </x:c>
      <x:c r="N60" s="37" t="str">
        <x:v>企業同時使用私有與外部模型，需要兼顧品質、成本、隱私與可用性。Demo：匯入一組去識別資料，觸發「在系統指令、歷史、知識與工具結果間分配視窗」，由系統提出證據、建議與下一步；使用者核准後回寫任務，最後呈現「避免關鍵資訊被截斷」前後差異。</x:v>
      </x:c>
      <x:c r="O60" s="37" t="str">
        <x:v>中低</x:v>
      </x:c>
      <x:c r="P60" s="37" t="str">
        <x:v>鄰近既有能力：原有系統可能使用生成式 AI，但未涵蓋企業級模型營運與品質工程。本 App 的獨立邊界是「在系統指令、歷史、知識與工具結果間分配視窗」，主要產出為「避免關鍵資訊被截斷」，不是一般登錄、查詢或看板。</x:v>
      </x:c>
      <x:c r="Q60" s="38" t="n">
        <x:v>5</x:v>
      </x:c>
      <x:c r="R60" s="38" t="n">
        <x:v>3</x:v>
      </x:c>
      <x:c r="S60" s="38" t="str">
        <x:v>P0</x:v>
      </x:c>
      <x:c r="T60" s="38" t="n">
        <x:v>6</x:v>
      </x:c>
      <x:c r="U60" s="39" t="str">
        <x:v>Wave 1 平台底座／旗艦</x:v>
      </x:c>
    </x:row>
    <x:row r="61" ht="86" customHeight="1">
      <x:c r="A61" s="36" t="str">
        <x:v>JV-057</x:v>
      </x:c>
      <x:c r="B61" s="37" t="str">
        <x:v>Context 污染偵測器</x:v>
      </x:c>
      <x:c r="C61" s="37" t="str">
        <x:v>企業 AI／LLM</x:v>
      </x:c>
      <x:c r="D61" s="37" t="str">
        <x:v>Context 工程</x:v>
      </x:c>
      <x:c r="E61" s="37" t="str">
        <x:v>資訊、數據、數位轉型</x:v>
      </x:c>
      <x:c r="F61" s="37" t="str">
        <x:v>AI 架構師、資料科學家、應用負責人</x:v>
      </x:c>
      <x:c r="G61" s="37" t="str">
        <x:v>現行作法對「識別不可信內容混入高權重上下文」多靠人工彙整、個人經驗或事後處理，難以一致追蹤，造成決策延遲與重工。</x:v>
      </x:c>
      <x:c r="H61" s="37" t="str">
        <x:v>資料／事件接入；識別不可信內容混入高權重上下文；證據與信心呈現；例外分流與人工覆核；降低間接注入風險成效追蹤；完整稽核軌跡</x:v>
      </x:c>
      <x:c r="I61" s="37" t="str">
        <x:v>預測與情境模擬；多目標最佳化；不確定性呈現；專門模型焦點：識別不可信內容混入高權重上下文</x:v>
      </x:c>
      <x:c r="J61" s="37" t="str">
        <x:v>定期掃描資料與外部訊號，提出優先序與建議；經核准後同步任務與更新來源系統</x:v>
      </x:c>
      <x:c r="K61" s="37" t="str">
        <x:v>L4 有護欄自主執行</x:v>
      </x:c>
      <x:c r="L61" s="37" t="str">
        <x:v>模型請求、提示、回應、評測集、知識片段、使用回饋</x:v>
      </x:c>
      <x:c r="M61" s="37" t="str">
        <x:v>LLM Gateway、向量資料庫、BI、資料湖、IAM、APM</x:v>
      </x:c>
      <x:c r="N61" s="37" t="str">
        <x:v>企業同時使用私有與外部模型，需要兼顧品質、成本、隱私與可用性。Demo：匯入一組去識別資料，觸發「識別不可信內容混入高權重上下文」，由系統提出證據、建議與下一步；使用者核准後回寫任務，最後呈現「降低間接注入風險」前後差異。</x:v>
      </x:c>
      <x:c r="O61" s="37" t="str">
        <x:v>低</x:v>
      </x:c>
      <x:c r="P61" s="37" t="str">
        <x:v>鄰近既有能力：原有系統可能使用生成式 AI，但未涵蓋企業級模型營運與品質工程。本 App 的獨立邊界是「識別不可信內容混入高權重上下文」，主要產出為「降低間接注入風險」，不是一般登錄、查詢或看板。</x:v>
      </x:c>
      <x:c r="Q61" s="38" t="n">
        <x:v>5</x:v>
      </x:c>
      <x:c r="R61" s="38" t="n">
        <x:v>4</x:v>
      </x:c>
      <x:c r="S61" s="38" t="str">
        <x:v>P0</x:v>
      </x:c>
      <x:c r="T61" s="38" t="n">
        <x:v>8</x:v>
      </x:c>
      <x:c r="U61" s="39" t="str">
        <x:v>Wave 1 平台底座／旗艦</x:v>
      </x:c>
    </x:row>
    <x:row r="62" ht="86" customHeight="1">
      <x:c r="A62" s="36" t="str">
        <x:v>JV-058</x:v>
      </x:c>
      <x:c r="B62" s="37" t="str">
        <x:v>Context 新鮮度守門員</x:v>
      </x:c>
      <x:c r="C62" s="37" t="str">
        <x:v>企業 AI／LLM</x:v>
      </x:c>
      <x:c r="D62" s="37" t="str">
        <x:v>Context 工程</x:v>
      </x:c>
      <x:c r="E62" s="37" t="str">
        <x:v>資訊、數據、數位轉型</x:v>
      </x:c>
      <x:c r="F62" s="37" t="str">
        <x:v>AI 架構師、資料科學家、應用負責人</x:v>
      </x:c>
      <x:c r="G62" s="37" t="str">
        <x:v>現行作法對「檢查引用資料時間與版本是否過期」多靠人工彙整、個人經驗或事後處理，難以一致追蹤，造成決策延遲與重工。</x:v>
      </x:c>
      <x:c r="H62" s="37" t="str">
        <x:v>資料／事件接入；檢查引用資料時間與版本是否過期；證據與信心呈現；例外分流與人工覆核；避免用舊制度回答成效追蹤；完整稽核軌跡</x:v>
      </x:c>
      <x:c r="I62" s="37" t="str">
        <x:v>跨文件／跨系統比對；圖譜推理；差異與缺口生成；專門模型焦點：檢查引用資料時間與版本是否過期</x:v>
      </x:c>
      <x:c r="J62" s="37" t="str">
        <x:v>以人機協作模式先產生草案與證據包，接受修改後執行核准步驟並建立完整稽核軌跡</x:v>
      </x:c>
      <x:c r="K62" s="37" t="str">
        <x:v>L4 有護欄自主執行</x:v>
      </x:c>
      <x:c r="L62" s="37" t="str">
        <x:v>模型請求、提示、回應、評測集、知識片段、使用回饋</x:v>
      </x:c>
      <x:c r="M62" s="37" t="str">
        <x:v>LLM Gateway、向量資料庫、BI、資料湖、IAM、APM</x:v>
      </x:c>
      <x:c r="N62" s="37" t="str">
        <x:v>企業同時使用私有與外部模型，需要兼顧品質、成本、隱私與可用性。Demo：匯入一組去識別資料，觸發「檢查引用資料時間與版本是否過期」，由系統提出證據、建議與下一步；使用者核准後回寫任務，最後呈現「避免用舊制度回答」前後差異。</x:v>
      </x:c>
      <x:c r="O62" s="37" t="str">
        <x:v>低</x:v>
      </x:c>
      <x:c r="P62" s="37" t="str">
        <x:v>鄰近既有能力：原有系統可能使用生成式 AI，但未涵蓋企業級模型營運與品質工程。本 App 的獨立邊界是「檢查引用資料時間與版本是否過期」，主要產出為「避免用舊制度回答」，不是一般登錄、查詢或看板。</x:v>
      </x:c>
      <x:c r="Q62" s="38" t="n">
        <x:v>5</x:v>
      </x:c>
      <x:c r="R62" s="38" t="n">
        <x:v>4</x:v>
      </x:c>
      <x:c r="S62" s="38" t="str">
        <x:v>P0</x:v>
      </x:c>
      <x:c r="T62" s="38" t="n">
        <x:v>8</x:v>
      </x:c>
      <x:c r="U62" s="39" t="str">
        <x:v>Wave 1 平台底座／旗艦</x:v>
      </x:c>
    </x:row>
    <x:row r="63" ht="86" customHeight="1">
      <x:c r="A63" s="36" t="str">
        <x:v>JV-059</x:v>
      </x:c>
      <x:c r="B63" s="37" t="str">
        <x:v>Context 來源平衡器</x:v>
      </x:c>
      <x:c r="C63" s="37" t="str">
        <x:v>企業 AI／LLM</x:v>
      </x:c>
      <x:c r="D63" s="37" t="str">
        <x:v>Context 工程</x:v>
      </x:c>
      <x:c r="E63" s="37" t="str">
        <x:v>資訊、數據、數位轉型</x:v>
      </x:c>
      <x:c r="F63" s="37" t="str">
        <x:v>AI 架構師、資料科學家、應用負責人</x:v>
      </x:c>
      <x:c r="G63" s="37" t="str">
        <x:v>現行作法對「避免單一來源過度主導並提示證據缺口」多靠人工彙整、個人經驗或事後處理，難以一致追蹤，造成決策延遲與重工。</x:v>
      </x:c>
      <x:c r="H63" s="37" t="str">
        <x:v>資料／事件接入；避免單一來源過度主導並提示證據缺口；證據與信心呈現；例外分流與人工覆核；提升結論健全性成效追蹤；完整稽核軌跡</x:v>
      </x:c>
      <x:c r="I63" s="37" t="str">
        <x:v>異常偵測；因果線索分析；可解釋的建議排序；專門模型焦點：避免單一來源過度主導並提示證據缺口</x:v>
      </x:c>
      <x:c r="J63" s="37" t="str">
        <x:v>依目標自主規劃步驟、呼叫核准工具、遇到例外改走人工佇列，完成後驗證結果並回報</x:v>
      </x:c>
      <x:c r="K63" s="37" t="str">
        <x:v>L4 有護欄自主執行</x:v>
      </x:c>
      <x:c r="L63" s="37" t="str">
        <x:v>模型請求、提示、回應、評測集、知識片段、使用回饋</x:v>
      </x:c>
      <x:c r="M63" s="37" t="str">
        <x:v>LLM Gateway、向量資料庫、BI、資料湖、IAM、APM</x:v>
      </x:c>
      <x:c r="N63" s="37" t="str">
        <x:v>企業同時使用私有與外部模型，需要兼顧品質、成本、隱私與可用性。Demo：匯入一組去識別資料，觸發「避免單一來源過度主導並提示證據缺口」，由系統提出證據、建議與下一步；使用者核准後回寫任務，最後呈現「提升結論健全性」前後差異。</x:v>
      </x:c>
      <x:c r="O63" s="37" t="str">
        <x:v>低</x:v>
      </x:c>
      <x:c r="P63" s="37" t="str">
        <x:v>鄰近既有能力：原有系統可能使用生成式 AI，但未涵蓋企業級模型營運與品質工程。本 App 的獨立邊界是「避免單一來源過度主導並提示證據缺口」，主要產出為「提升結論健全性」，不是一般登錄、查詢或看板。</x:v>
      </x:c>
      <x:c r="Q63" s="38" t="n">
        <x:v>5</x:v>
      </x:c>
      <x:c r="R63" s="38" t="n">
        <x:v>4</x:v>
      </x:c>
      <x:c r="S63" s="38" t="str">
        <x:v>P0</x:v>
      </x:c>
      <x:c r="T63" s="38" t="n">
        <x:v>8</x:v>
      </x:c>
      <x:c r="U63" s="39" t="str">
        <x:v>Wave 1 平台底座／旗艦</x:v>
      </x:c>
    </x:row>
    <x:row r="64" ht="86" customHeight="1">
      <x:c r="A64" s="36" t="str">
        <x:v>JV-060</x:v>
      </x:c>
      <x:c r="B64" s="37" t="str">
        <x:v>Context 重複消除器</x:v>
      </x:c>
      <x:c r="C64" s="37" t="str">
        <x:v>企業 AI／LLM</x:v>
      </x:c>
      <x:c r="D64" s="37" t="str">
        <x:v>Context 工程</x:v>
      </x:c>
      <x:c r="E64" s="37" t="str">
        <x:v>資訊、數據、數位轉型</x:v>
      </x:c>
      <x:c r="F64" s="37" t="str">
        <x:v>AI 架構師、資料科學家、應用負責人</x:v>
      </x:c>
      <x:c r="G64" s="37" t="str">
        <x:v>現行作法對「合併近似片段並保留最佳證據」多靠人工彙整、個人經驗或事後處理，難以一致追蹤，造成決策延遲與重工。</x:v>
      </x:c>
      <x:c r="H64" s="37" t="str">
        <x:v>資料／事件接入；合併近似片段並保留最佳證據；證據與信心呈現；例外分流與人工覆核；節省視窗與推論成本成效追蹤；完整稽核軌跡</x:v>
      </x:c>
      <x:c r="I64" s="37" t="str">
        <x:v>RAG 檢索與來源引用；規則＋模型混合判斷；矛盾檢查；專門模型焦點：合併近似片段並保留最佳證據</x:v>
      </x:c>
      <x:c r="J64" s="37" t="str">
        <x:v>與多個專業 Agent 協作拆解任務，保留交接證據、逾時升級並在失敗時安全回滾</x:v>
      </x:c>
      <x:c r="K64" s="37" t="str">
        <x:v>L2 建議／需核准</x:v>
      </x:c>
      <x:c r="L64" s="37" t="str">
        <x:v>模型請求、提示、回應、評測集、知識片段、使用回饋</x:v>
      </x:c>
      <x:c r="M64" s="37" t="str">
        <x:v>LLM Gateway、向量資料庫、BI、資料湖、IAM、APM</x:v>
      </x:c>
      <x:c r="N64" s="37" t="str">
        <x:v>企業同時使用私有與外部模型，需要兼顧品質、成本、隱私與可用性。Demo：匯入一組去識別資料，觸發「合併近似片段並保留最佳證據」，由系統提出證據、建議與下一步；使用者核准後回寫任務，最後呈現「節省視窗與推論成本」前後差異。</x:v>
      </x:c>
      <x:c r="O64" s="37" t="str">
        <x:v>中低</x:v>
      </x:c>
      <x:c r="P64" s="37" t="str">
        <x:v>鄰近既有能力：原有系統可能使用生成式 AI，但未涵蓋企業級模型營運與品質工程。本 App 的獨立邊界是「合併近似片段並保留最佳證據」，主要產出為「節省視窗與推論成本」，不是一般登錄、查詢或看板。</x:v>
      </x:c>
      <x:c r="Q64" s="38" t="n">
        <x:v>5</x:v>
      </x:c>
      <x:c r="R64" s="38" t="n">
        <x:v>5</x:v>
      </x:c>
      <x:c r="S64" s="38" t="str">
        <x:v>P0</x:v>
      </x:c>
      <x:c r="T64" s="38" t="n">
        <x:v>10</x:v>
      </x:c>
      <x:c r="U64" s="39" t="str">
        <x:v>Wave 1 平台底座／旗艦</x:v>
      </x:c>
    </x:row>
    <x:row r="65" ht="86" customHeight="1">
      <x:c r="A65" s="36" t="str">
        <x:v>JV-061</x:v>
      </x:c>
      <x:c r="B65" s="37" t="str">
        <x:v>RAG 黃金問題集工廠</x:v>
      </x:c>
      <x:c r="C65" s="37" t="str">
        <x:v>企業 AI／LLM</x:v>
      </x:c>
      <x:c r="D65" s="37" t="str">
        <x:v>RAG 品質</x:v>
      </x:c>
      <x:c r="E65" s="37" t="str">
        <x:v>資訊、數據、數位轉型</x:v>
      </x:c>
      <x:c r="F65" s="37" t="str">
        <x:v>AI 架構師、資料科學家、應用負責人</x:v>
      </x:c>
      <x:c r="G65" s="37" t="str">
        <x:v>現行作法對「從工單與真實問答建立可維護評測集」多靠人工彙整、個人經驗或事後處理，難以一致追蹤，造成決策延遲與重工。</x:v>
      </x:c>
      <x:c r="H65" s="37" t="str">
        <x:v>資料／事件接入；從工單與真實問答建立可維護評測集；證據與信心呈現；例外分流與人工覆核；持續驗證企業問答成效追蹤；完整稽核軌跡</x:v>
      </x:c>
      <x:c r="I65" s="37" t="str">
        <x:v>語意分類與實體抽取；風險／信心評分；具證據的生成與摘要；專門模型焦點：從工單與真實問答建立可維護評測集</x:v>
      </x:c>
      <x:c r="J65" s="37" t="str">
        <x:v>持續監測事件，達門檻後建立案件、蒐集證據、指派責任並追蹤結案；高風險動作需人工核准</x:v>
      </x:c>
      <x:c r="K65" s="37" t="str">
        <x:v>L3 可執行／關鍵核准</x:v>
      </x:c>
      <x:c r="L65" s="37" t="str">
        <x:v>模型請求、提示、回應、評測集、知識片段、使用回饋</x:v>
      </x:c>
      <x:c r="M65" s="37" t="str">
        <x:v>LLM Gateway、向量資料庫、BI、資料湖、IAM、APM</x:v>
      </x:c>
      <x:c r="N65" s="37" t="str">
        <x:v>企業同時使用私有與外部模型，需要兼顧品質、成本、隱私與可用性。Demo：匯入一組去識別資料，觸發「從工單與真實問答建立可維護評測集」，由系統提出證據、建議與下一步；使用者核准後回寫任務，最後呈現「持續驗證企業問答」前後差異。</x:v>
      </x:c>
      <x:c r="O65" s="37" t="str">
        <x:v>中低</x:v>
      </x:c>
      <x:c r="P65" s="37" t="str">
        <x:v>鄰近既有能力：原有系統可能使用生成式 AI，但未涵蓋企業級模型營運與品質工程。本 App 的獨立邊界是「從工單與真實問答建立可維護評測集」，主要產出為「持續驗證企業問答」，不是一般登錄、查詢或看板。</x:v>
      </x:c>
      <x:c r="Q65" s="38" t="n">
        <x:v>5</x:v>
      </x:c>
      <x:c r="R65" s="38" t="n">
        <x:v>3</x:v>
      </x:c>
      <x:c r="S65" s="38" t="str">
        <x:v>P0</x:v>
      </x:c>
      <x:c r="T65" s="38" t="n">
        <x:v>6</x:v>
      </x:c>
      <x:c r="U65" s="39" t="str">
        <x:v>Wave 1 平台底座／旗艦</x:v>
      </x:c>
    </x:row>
    <x:row r="66" ht="86" customHeight="1">
      <x:c r="A66" s="36" t="str">
        <x:v>JV-062</x:v>
      </x:c>
      <x:c r="B66" s="37" t="str">
        <x:v>RAG 檢索失敗診斷器</x:v>
      </x:c>
      <x:c r="C66" s="37" t="str">
        <x:v>企業 AI／LLM</x:v>
      </x:c>
      <x:c r="D66" s="37" t="str">
        <x:v>RAG 品質</x:v>
      </x:c>
      <x:c r="E66" s="37" t="str">
        <x:v>資訊、數據、數位轉型</x:v>
      </x:c>
      <x:c r="F66" s="37" t="str">
        <x:v>AI 架構師、資料科學家、應用負責人</x:v>
      </x:c>
      <x:c r="G66" s="37" t="str">
        <x:v>現行作法對「區分無文件、切塊錯誤、查詢錯誤與排序失敗」多靠人工彙整、個人經驗或事後處理，難以一致追蹤，造成決策延遲與重工。</x:v>
      </x:c>
      <x:c r="H66" s="37" t="str">
        <x:v>資料／事件接入；區分無文件、切塊錯誤、查詢錯誤與排序失敗；證據與信心呈現；例外分流與人工覆核；快速定位低命中原因成效追蹤；完整稽核軌跡</x:v>
      </x:c>
      <x:c r="I66" s="37" t="str">
        <x:v>預測與情境模擬；多目標最佳化；不確定性呈現；專門模型焦點：區分無文件、切塊錯誤、查詢錯誤與排序失敗</x:v>
      </x:c>
      <x:c r="J66" s="37" t="str">
        <x:v>定期掃描資料與外部訊號，提出優先序與建議；經核准後同步任務與更新來源系統</x:v>
      </x:c>
      <x:c r="K66" s="37" t="str">
        <x:v>L3 可執行／關鍵核准</x:v>
      </x:c>
      <x:c r="L66" s="37" t="str">
        <x:v>模型請求、提示、回應、評測集、知識片段、使用回饋</x:v>
      </x:c>
      <x:c r="M66" s="37" t="str">
        <x:v>LLM Gateway、向量資料庫、BI、資料湖、IAM、APM</x:v>
      </x:c>
      <x:c r="N66" s="37" t="str">
        <x:v>企業同時使用私有與外部模型，需要兼顧品質、成本、隱私與可用性。Demo：匯入一組去識別資料，觸發「區分無文件、切塊錯誤、查詢錯誤與排序失敗」，由系統提出證據、建議與下一步；使用者核准後回寫任務，最後呈現「快速定位低命中原因」前後差異。</x:v>
      </x:c>
      <x:c r="O66" s="37" t="str">
        <x:v>低</x:v>
      </x:c>
      <x:c r="P66" s="37" t="str">
        <x:v>鄰近既有能力：原有系統可能使用生成式 AI，但未涵蓋企業級模型營運與品質工程。本 App 的獨立邊界是「區分無文件、切塊錯誤、查詢錯誤與排序失敗」，主要產出為「快速定位低命中原因」，不是一般登錄、查詢或看板。</x:v>
      </x:c>
      <x:c r="Q66" s="38" t="n">
        <x:v>5</x:v>
      </x:c>
      <x:c r="R66" s="38" t="n">
        <x:v>4</x:v>
      </x:c>
      <x:c r="S66" s="38" t="str">
        <x:v>P1</x:v>
      </x:c>
      <x:c r="T66" s="38" t="n">
        <x:v>9</x:v>
      </x:c>
      <x:c r="U66" s="39" t="str">
        <x:v>Wave 2 高價值套件</x:v>
      </x:c>
    </x:row>
    <x:row r="67" ht="86" customHeight="1">
      <x:c r="A67" s="36" t="str">
        <x:v>JV-063</x:v>
      </x:c>
      <x:c r="B67" s="37" t="str">
        <x:v>RAG 引用完整性稽核員</x:v>
      </x:c>
      <x:c r="C67" s="37" t="str">
        <x:v>企業 AI／LLM</x:v>
      </x:c>
      <x:c r="D67" s="37" t="str">
        <x:v>RAG 品質</x:v>
      </x:c>
      <x:c r="E67" s="37" t="str">
        <x:v>資訊、數據、數位轉型</x:v>
      </x:c>
      <x:c r="F67" s="37" t="str">
        <x:v>AI 架構師、資料科學家、應用負責人</x:v>
      </x:c>
      <x:c r="G67" s="37" t="str">
        <x:v>現行作法對「檢查答案主張是否皆有可開啟來源」多靠人工彙整、個人經驗或事後處理，難以一致追蹤，造成決策延遲與重工。</x:v>
      </x:c>
      <x:c r="H67" s="37" t="str">
        <x:v>資料／事件接入；檢查答案主張是否皆有可開啟來源；證據與信心呈現；例外分流與人工覆核；提升可追溯性成效追蹤；完整稽核軌跡</x:v>
      </x:c>
      <x:c r="I67" s="37" t="str">
        <x:v>跨文件／跨系統比對；圖譜推理；差異與缺口生成；專門模型焦點：檢查答案主張是否皆有可開啟來源</x:v>
      </x:c>
      <x:c r="J67" s="37" t="str">
        <x:v>以人機協作模式先產生草案與證據包，接受修改後執行核准步驟並建立完整稽核軌跡</x:v>
      </x:c>
      <x:c r="K67" s="37" t="str">
        <x:v>L4 有護欄自主執行</x:v>
      </x:c>
      <x:c r="L67" s="37" t="str">
        <x:v>模型請求、提示、回應、評測集、知識片段、使用回饋</x:v>
      </x:c>
      <x:c r="M67" s="37" t="str">
        <x:v>LLM Gateway、向量資料庫、BI、資料湖、IAM、APM</x:v>
      </x:c>
      <x:c r="N67" s="37" t="str">
        <x:v>企業同時使用私有與外部模型，需要兼顧品質、成本、隱私與可用性。Demo：匯入一組去識別資料，觸發「檢查答案主張是否皆有可開啟來源」，由系統提出證據、建議與下一步；使用者核准後回寫任務，最後呈現「提升可追溯性」前後差異。</x:v>
      </x:c>
      <x:c r="O67" s="37" t="str">
        <x:v>低</x:v>
      </x:c>
      <x:c r="P67" s="37" t="str">
        <x:v>鄰近既有能力：原有系統可能使用生成式 AI，但未涵蓋企業級模型營運與品質工程。本 App 的獨立邊界是「檢查答案主張是否皆有可開啟來源」，主要產出為「提升可追溯性」，不是一般登錄、查詢或看板。</x:v>
      </x:c>
      <x:c r="Q67" s="38" t="n">
        <x:v>5</x:v>
      </x:c>
      <x:c r="R67" s="38" t="n">
        <x:v>4</x:v>
      </x:c>
      <x:c r="S67" s="38" t="str">
        <x:v>P0</x:v>
      </x:c>
      <x:c r="T67" s="38" t="n">
        <x:v>8</x:v>
      </x:c>
      <x:c r="U67" s="39" t="str">
        <x:v>Wave 1 平台底座／旗艦</x:v>
      </x:c>
    </x:row>
    <x:row r="68" ht="86" customHeight="1">
      <x:c r="A68" s="36" t="str">
        <x:v>JV-064</x:v>
      </x:c>
      <x:c r="B68" s="37" t="str">
        <x:v>RAG 切塊策略實驗室</x:v>
      </x:c>
      <x:c r="C68" s="37" t="str">
        <x:v>企業 AI／LLM</x:v>
      </x:c>
      <x:c r="D68" s="37" t="str">
        <x:v>RAG 品質</x:v>
      </x:c>
      <x:c r="E68" s="37" t="str">
        <x:v>資訊、數據、數位轉型</x:v>
      </x:c>
      <x:c r="F68" s="37" t="str">
        <x:v>AI 架構師、資料科學家、應用負責人</x:v>
      </x:c>
      <x:c r="G68" s="37" t="str">
        <x:v>現行作法對「比較不同切塊、重疊與結構保留策略」多靠人工彙整、個人經驗或事後處理，難以一致追蹤，造成決策延遲與重工。</x:v>
      </x:c>
      <x:c r="H68" s="37" t="str">
        <x:v>資料／事件接入；比較不同切塊、重疊與結構保留策略；證據與信心呈現；例外分流與人工覆核；找出最佳檢索單位成效追蹤；完整稽核軌跡</x:v>
      </x:c>
      <x:c r="I68" s="37" t="str">
        <x:v>異常偵測；因果線索分析；可解釋的建議排序；專門模型焦點：比較不同切塊、重疊與結構保留策略</x:v>
      </x:c>
      <x:c r="J68" s="37" t="str">
        <x:v>依目標自主規劃步驟、呼叫核准工具、遇到例外改走人工佇列，完成後驗證結果並回報</x:v>
      </x:c>
      <x:c r="K68" s="37" t="str">
        <x:v>L4 有護欄自主執行</x:v>
      </x:c>
      <x:c r="L68" s="37" t="str">
        <x:v>模型請求、提示、回應、評測集、知識片段、使用回饋</x:v>
      </x:c>
      <x:c r="M68" s="37" t="str">
        <x:v>LLM Gateway、向量資料庫、BI、資料湖、IAM、APM</x:v>
      </x:c>
      <x:c r="N68" s="37" t="str">
        <x:v>企業同時使用私有與外部模型，需要兼顧品質、成本、隱私與可用性。Demo：匯入一組去識別資料，觸發「比較不同切塊、重疊與結構保留策略」，由系統提出證據、建議與下一步；使用者核准後回寫任務，最後呈現「找出最佳檢索單位」前後差異。</x:v>
      </x:c>
      <x:c r="O68" s="37" t="str">
        <x:v>低</x:v>
      </x:c>
      <x:c r="P68" s="37" t="str">
        <x:v>鄰近既有能力：原有系統可能使用生成式 AI，但未涵蓋企業級模型營運與品質工程。本 App 的獨立邊界是「比較不同切塊、重疊與結構保留策略」，主要產出為「找出最佳檢索單位」，不是一般登錄、查詢或看板。</x:v>
      </x:c>
      <x:c r="Q68" s="38" t="n">
        <x:v>5</x:v>
      </x:c>
      <x:c r="R68" s="38" t="n">
        <x:v>4</x:v>
      </x:c>
      <x:c r="S68" s="38" t="str">
        <x:v>P0</x:v>
      </x:c>
      <x:c r="T68" s="38" t="n">
        <x:v>8</x:v>
      </x:c>
      <x:c r="U68" s="39" t="str">
        <x:v>Wave 1 平台底座／旗艦</x:v>
      </x:c>
    </x:row>
    <x:row r="69" ht="86" customHeight="1">
      <x:c r="A69" s="36" t="str">
        <x:v>JV-065</x:v>
      </x:c>
      <x:c r="B69" s="37" t="str">
        <x:v>RAG 重排序競技場</x:v>
      </x:c>
      <x:c r="C69" s="37" t="str">
        <x:v>企業 AI／LLM</x:v>
      </x:c>
      <x:c r="D69" s="37" t="str">
        <x:v>RAG 品質</x:v>
      </x:c>
      <x:c r="E69" s="37" t="str">
        <x:v>資訊、數據、數位轉型</x:v>
      </x:c>
      <x:c r="F69" s="37" t="str">
        <x:v>AI 架構師、資料科學家、應用負責人</x:v>
      </x:c>
      <x:c r="G69" s="37" t="str">
        <x:v>現行作法對「在企業查詢上比較 reranker 精準度與成本」多靠人工彙整、個人經驗或事後處理，難以一致追蹤，造成決策延遲與重工。</x:v>
      </x:c>
      <x:c r="H69" s="37" t="str">
        <x:v>資料／事件接入；在企業查詢上比較 reranker 精準度與成本；證據與信心呈現；例外分流與人工覆核；優化前幾名證據成效追蹤；完整稽核軌跡</x:v>
      </x:c>
      <x:c r="I69" s="37" t="str">
        <x:v>RAG 檢索與來源引用；規則＋模型混合判斷；矛盾檢查；專門模型焦點：在企業查詢上比較 reranker 精準度與成本</x:v>
      </x:c>
      <x:c r="J69" s="37" t="str">
        <x:v>與多個專業 Agent 協作拆解任務，保留交接證據、逾時升級並在失敗時安全回滾</x:v>
      </x:c>
      <x:c r="K69" s="37" t="str">
        <x:v>L2 建議／需核准</x:v>
      </x:c>
      <x:c r="L69" s="37" t="str">
        <x:v>模型請求、提示、回應、評測集、知識片段、使用回饋</x:v>
      </x:c>
      <x:c r="M69" s="37" t="str">
        <x:v>LLM Gateway、向量資料庫、BI、資料湖、IAM、APM</x:v>
      </x:c>
      <x:c r="N69" s="37" t="str">
        <x:v>企業同時使用私有與外部模型，需要兼顧品質、成本、隱私與可用性。Demo：匯入一組去識別資料，觸發「在企業查詢上比較 reranker 精準度與成本」，由系統提出證據、建議與下一步；使用者核准後回寫任務，最後呈現「優化前幾名證據」前後差異。</x:v>
      </x:c>
      <x:c r="O69" s="37" t="str">
        <x:v>中低</x:v>
      </x:c>
      <x:c r="P69" s="37" t="str">
        <x:v>鄰近既有能力：原有系統可能使用生成式 AI，但未涵蓋企業級模型營運與品質工程。本 App 的獨立邊界是「在企業查詢上比較 reranker 精準度與成本」，主要產出為「優化前幾名證據」，不是一般登錄、查詢或看板。</x:v>
      </x:c>
      <x:c r="Q69" s="38" t="n">
        <x:v>5</x:v>
      </x:c>
      <x:c r="R69" s="38" t="n">
        <x:v>5</x:v>
      </x:c>
      <x:c r="S69" s="38" t="str">
        <x:v>P1</x:v>
      </x:c>
      <x:c r="T69" s="38" t="n">
        <x:v>11</x:v>
      </x:c>
      <x:c r="U69" s="39" t="str">
        <x:v>Wave 2 高價值套件</x:v>
      </x:c>
    </x:row>
    <x:row r="70" ht="86" customHeight="1">
      <x:c r="A70" s="36" t="str">
        <x:v>JV-066</x:v>
      </x:c>
      <x:c r="B70" s="37" t="str">
        <x:v>LLM 結構化輸出守門員</x:v>
      </x:c>
      <x:c r="C70" s="37" t="str">
        <x:v>企業 AI／LLM</x:v>
      </x:c>
      <x:c r="D70" s="37" t="str">
        <x:v>推論可靠性</x:v>
      </x:c>
      <x:c r="E70" s="37" t="str">
        <x:v>資訊、數據、數位轉型</x:v>
      </x:c>
      <x:c r="F70" s="37" t="str">
        <x:v>AI 架構師、資料科學家、應用負責人</x:v>
      </x:c>
      <x:c r="G70" s="37" t="str">
        <x:v>現行作法對「驗證 JSON、欄位型別與業務規則並自動修復」多靠人工彙整、個人經驗或事後處理，難以一致追蹤，造成決策延遲與重工。</x:v>
      </x:c>
      <x:c r="H70" s="37" t="str">
        <x:v>資料／事件接入；驗證 JSON、欄位型別與業務規則並自動修復；證據與信心呈現；例外分流與人工覆核；確保下游可執行成效追蹤；完整稽核軌跡</x:v>
      </x:c>
      <x:c r="I70" s="37" t="str">
        <x:v>語意分類與實體抽取；風險／信心評分；具證據的生成與摘要；專門模型焦點：驗證 JSON、欄位型別與業務規則並自動修復</x:v>
      </x:c>
      <x:c r="J70" s="37" t="str">
        <x:v>持續監測事件，達門檻後建立案件、蒐集證據、指派責任並追蹤結案；高風險動作需人工核准</x:v>
      </x:c>
      <x:c r="K70" s="37" t="str">
        <x:v>L3 可執行／關鍵核准</x:v>
      </x:c>
      <x:c r="L70" s="37" t="str">
        <x:v>模型請求、提示、回應、評測集、知識片段、使用回饋</x:v>
      </x:c>
      <x:c r="M70" s="37" t="str">
        <x:v>LLM Gateway、向量資料庫、BI、資料湖、IAM、APM</x:v>
      </x:c>
      <x:c r="N70" s="37" t="str">
        <x:v>企業同時使用私有與外部模型，需要兼顧品質、成本、隱私與可用性。Demo：匯入一組去識別資料，觸發「驗證 JSON、欄位型別與業務規則並自動修復」，由系統提出證據、建議與下一步；使用者核准後回寫任務，最後呈現「確保下游可執行」前後差異。</x:v>
      </x:c>
      <x:c r="O70" s="37" t="str">
        <x:v>中低</x:v>
      </x:c>
      <x:c r="P70" s="37" t="str">
        <x:v>鄰近既有能力：原有系統可能使用生成式 AI，但未涵蓋企業級模型營運與品質工程。本 App 的獨立邊界是「驗證 JSON、欄位型別與業務規則並自動修復」，主要產出為「確保下游可執行」，不是一般登錄、查詢或看板。</x:v>
      </x:c>
      <x:c r="Q70" s="38" t="n">
        <x:v>4</x:v>
      </x:c>
      <x:c r="R70" s="38" t="n">
        <x:v>3</x:v>
      </x:c>
      <x:c r="S70" s="38" t="str">
        <x:v>P0</x:v>
      </x:c>
      <x:c r="T70" s="38" t="n">
        <x:v>6</x:v>
      </x:c>
      <x:c r="U70" s="39" t="str">
        <x:v>Wave 1 平台底座／旗艦</x:v>
      </x:c>
    </x:row>
    <x:row r="71" ht="86" customHeight="1">
      <x:c r="A71" s="36" t="str">
        <x:v>JV-067</x:v>
      </x:c>
      <x:c r="B71" s="37" t="str">
        <x:v>LLM 不確定性校準器</x:v>
      </x:c>
      <x:c r="C71" s="37" t="str">
        <x:v>企業 AI／LLM</x:v>
      </x:c>
      <x:c r="D71" s="37" t="str">
        <x:v>推論可靠性</x:v>
      </x:c>
      <x:c r="E71" s="37" t="str">
        <x:v>資訊、數據、數位轉型</x:v>
      </x:c>
      <x:c r="F71" s="37" t="str">
        <x:v>AI 架構師、資料科學家、應用負責人</x:v>
      </x:c>
      <x:c r="G71" s="37" t="str">
        <x:v>現行作法對「將信心分數與實際正確率校準」多靠人工彙整、個人經驗或事後處理，難以一致追蹤，造成決策延遲與重工。</x:v>
      </x:c>
      <x:c r="H71" s="37" t="str">
        <x:v>資料／事件接入；將信心分數與實際正確率校準；證據與信心呈現；例外分流與人工覆核；設定合理人工覆核門檻成效追蹤；完整稽核軌跡</x:v>
      </x:c>
      <x:c r="I71" s="37" t="str">
        <x:v>預測與情境模擬；多目標最佳化；不確定性呈現；專門模型焦點：將信心分數與實際正確率校準</x:v>
      </x:c>
      <x:c r="J71" s="37" t="str">
        <x:v>定期掃描資料與外部訊號，提出優先序與建議；經核准後同步任務與更新來源系統</x:v>
      </x:c>
      <x:c r="K71" s="37" t="str">
        <x:v>L4 有護欄自主執行</x:v>
      </x:c>
      <x:c r="L71" s="37" t="str">
        <x:v>模型請求、提示、回應、評測集、知識片段、使用回饋</x:v>
      </x:c>
      <x:c r="M71" s="37" t="str">
        <x:v>LLM Gateway、向量資料庫、BI、資料湖、IAM、APM</x:v>
      </x:c>
      <x:c r="N71" s="37" t="str">
        <x:v>企業同時使用私有與外部模型，需要兼顧品質、成本、隱私與可用性。Demo：匯入一組去識別資料，觸發「將信心分數與實際正確率校準」，由系統提出證據、建議與下一步；使用者核准後回寫任務，最後呈現「設定合理人工覆核門檻」前後差異。</x:v>
      </x:c>
      <x:c r="O71" s="37" t="str">
        <x:v>低</x:v>
      </x:c>
      <x:c r="P71" s="37" t="str">
        <x:v>鄰近既有能力：原有系統可能使用生成式 AI，但未涵蓋企業級模型營運與品質工程。本 App 的獨立邊界是「將信心分數與實際正確率校準」，主要產出為「設定合理人工覆核門檻」，不是一般登錄、查詢或看板。</x:v>
      </x:c>
      <x:c r="Q71" s="38" t="n">
        <x:v>5</x:v>
      </x:c>
      <x:c r="R71" s="38" t="n">
        <x:v>4</x:v>
      </x:c>
      <x:c r="S71" s="38" t="str">
        <x:v>P0</x:v>
      </x:c>
      <x:c r="T71" s="38" t="n">
        <x:v>8</x:v>
      </x:c>
      <x:c r="U71" s="39" t="str">
        <x:v>Wave 1 平台底座／旗艦</x:v>
      </x:c>
    </x:row>
    <x:row r="72" ht="86" customHeight="1">
      <x:c r="A72" s="36" t="str">
        <x:v>JV-068</x:v>
      </x:c>
      <x:c r="B72" s="37" t="str">
        <x:v>LLM 一致性檢查器</x:v>
      </x:c>
      <x:c r="C72" s="37" t="str">
        <x:v>企業 AI／LLM</x:v>
      </x:c>
      <x:c r="D72" s="37" t="str">
        <x:v>推論可靠性</x:v>
      </x:c>
      <x:c r="E72" s="37" t="str">
        <x:v>資訊、數據、數位轉型</x:v>
      </x:c>
      <x:c r="F72" s="37" t="str">
        <x:v>AI 架構師、資料科學家、應用負責人</x:v>
      </x:c>
      <x:c r="G72" s="37" t="str">
        <x:v>現行作法對「多次或多模型推論比對矛盾點」多靠人工彙整、個人經驗或事後處理，難以一致追蹤，造成決策延遲與重工。</x:v>
      </x:c>
      <x:c r="H72" s="37" t="str">
        <x:v>資料／事件接入；多次或多模型推論比對矛盾點；證據與信心呈現；例外分流與人工覆核；辨識不穩定答案成效追蹤；完整稽核軌跡</x:v>
      </x:c>
      <x:c r="I72" s="37" t="str">
        <x:v>跨文件／跨系統比對；圖譜推理；差異與缺口生成；專門模型焦點：多次或多模型推論比對矛盾點</x:v>
      </x:c>
      <x:c r="J72" s="37" t="str">
        <x:v>以人機協作模式先產生草案與證據包，接受修改後執行核准步驟並建立完整稽核軌跡</x:v>
      </x:c>
      <x:c r="K72" s="37" t="str">
        <x:v>L4 有護欄自主執行</x:v>
      </x:c>
      <x:c r="L72" s="37" t="str">
        <x:v>模型請求、提示、回應、評測集、知識片段、使用回饋</x:v>
      </x:c>
      <x:c r="M72" s="37" t="str">
        <x:v>LLM Gateway、向量資料庫、BI、資料湖、IAM、APM</x:v>
      </x:c>
      <x:c r="N72" s="37" t="str">
        <x:v>企業同時使用私有與外部模型，需要兼顧品質、成本、隱私與可用性。Demo：匯入一組去識別資料，觸發「多次或多模型推論比對矛盾點」，由系統提出證據、建議與下一步；使用者核准後回寫任務，最後呈現「辨識不穩定答案」前後差異。</x:v>
      </x:c>
      <x:c r="O72" s="37" t="str">
        <x:v>低</x:v>
      </x:c>
      <x:c r="P72" s="37" t="str">
        <x:v>鄰近既有能力：原有系統可能使用生成式 AI，但未涵蓋企業級模型營運與品質工程。本 App 的獨立邊界是「多次或多模型推論比對矛盾點」，主要產出為「辨識不穩定答案」，不是一般登錄、查詢或看板。</x:v>
      </x:c>
      <x:c r="Q72" s="38" t="n">
        <x:v>5</x:v>
      </x:c>
      <x:c r="R72" s="38" t="n">
        <x:v>4</x:v>
      </x:c>
      <x:c r="S72" s="38" t="str">
        <x:v>P0</x:v>
      </x:c>
      <x:c r="T72" s="38" t="n">
        <x:v>8</x:v>
      </x:c>
      <x:c r="U72" s="39" t="str">
        <x:v>Wave 1 平台底座／旗艦</x:v>
      </x:c>
    </x:row>
    <x:row r="73" ht="86" customHeight="1">
      <x:c r="A73" s="36" t="str">
        <x:v>JV-069</x:v>
      </x:c>
      <x:c r="B73" s="37" t="str">
        <x:v>LLM 事實核對流水線</x:v>
      </x:c>
      <x:c r="C73" s="37" t="str">
        <x:v>企業 AI／LLM</x:v>
      </x:c>
      <x:c r="D73" s="37" t="str">
        <x:v>推論可靠性</x:v>
      </x:c>
      <x:c r="E73" s="37" t="str">
        <x:v>資訊、數據、數位轉型</x:v>
      </x:c>
      <x:c r="F73" s="37" t="str">
        <x:v>AI 架構師、資料科學家、應用負責人</x:v>
      </x:c>
      <x:c r="G73" s="37" t="str">
        <x:v>現行作法對「將關鍵主張拆分後對企業與外部來源查證」多靠人工彙整、個人經驗或事後處理，難以一致追蹤，造成決策延遲與重工。</x:v>
      </x:c>
      <x:c r="H73" s="37" t="str">
        <x:v>資料／事件接入；將關鍵主張拆分後對企業與外部來源查證；證據與信心呈現；例外分流與人工覆核；降低錯誤資訊成效追蹤；完整稽核軌跡</x:v>
      </x:c>
      <x:c r="I73" s="37" t="str">
        <x:v>異常偵測；因果線索分析；可解釋的建議排序；專門模型焦點：將關鍵主張拆分後對企業與外部來源查證</x:v>
      </x:c>
      <x:c r="J73" s="37" t="str">
        <x:v>依目標自主規劃步驟、呼叫核准工具、遇到例外改走人工佇列，完成後驗證結果並回報</x:v>
      </x:c>
      <x:c r="K73" s="37" t="str">
        <x:v>L4 有護欄自主執行</x:v>
      </x:c>
      <x:c r="L73" s="37" t="str">
        <x:v>模型請求、提示、回應、評測集、知識片段、使用回饋</x:v>
      </x:c>
      <x:c r="M73" s="37" t="str">
        <x:v>LLM Gateway、向量資料庫、BI、資料湖、IAM、APM</x:v>
      </x:c>
      <x:c r="N73" s="37" t="str">
        <x:v>企業同時使用私有與外部模型，需要兼顧品質、成本、隱私與可用性。Demo：匯入一組去識別資料，觸發「將關鍵主張拆分後對企業與外部來源查證」，由系統提出證據、建議與下一步；使用者核准後回寫任務，最後呈現「降低錯誤資訊」前後差異。</x:v>
      </x:c>
      <x:c r="O73" s="37" t="str">
        <x:v>低</x:v>
      </x:c>
      <x:c r="P73" s="37" t="str">
        <x:v>鄰近既有能力：原有系統可能使用生成式 AI，但未涵蓋企業級模型營運與品質工程。本 App 的獨立邊界是「將關鍵主張拆分後對企業與外部來源查證」，主要產出為「降低錯誤資訊」，不是一般登錄、查詢或看板。</x:v>
      </x:c>
      <x:c r="Q73" s="38" t="n">
        <x:v>5</x:v>
      </x:c>
      <x:c r="R73" s="38" t="n">
        <x:v>4</x:v>
      </x:c>
      <x:c r="S73" s="38" t="str">
        <x:v>P0</x:v>
      </x:c>
      <x:c r="T73" s="38" t="n">
        <x:v>8</x:v>
      </x:c>
      <x:c r="U73" s="39" t="str">
        <x:v>Wave 1 平台底座／旗艦</x:v>
      </x:c>
    </x:row>
    <x:row r="74" ht="86" customHeight="1">
      <x:c r="A74" s="36" t="str">
        <x:v>JV-070</x:v>
      </x:c>
      <x:c r="B74" s="37" t="str">
        <x:v>LLM 拒答策略設計器</x:v>
      </x:c>
      <x:c r="C74" s="37" t="str">
        <x:v>企業 AI／LLM</x:v>
      </x:c>
      <x:c r="D74" s="37" t="str">
        <x:v>推論可靠性</x:v>
      </x:c>
      <x:c r="E74" s="37" t="str">
        <x:v>資訊、數據、數位轉型</x:v>
      </x:c>
      <x:c r="F74" s="37" t="str">
        <x:v>AI 架構師、資料科學家、應用負責人</x:v>
      </x:c>
      <x:c r="G74" s="37" t="str">
        <x:v>現行作法對「依風險與證據不足定義安全拒答及轉介」多靠人工彙整、個人經驗或事後處理，難以一致追蹤，造成決策延遲與重工。</x:v>
      </x:c>
      <x:c r="H74" s="37" t="str">
        <x:v>資料／事件接入；依風險與證據不足定義安全拒答及轉介；證據與信心呈現；例外分流與人工覆核；避免硬答高風險問題成效追蹤；完整稽核軌跡</x:v>
      </x:c>
      <x:c r="I74" s="37" t="str">
        <x:v>RAG 檢索與來源引用；規則＋模型混合判斷；矛盾檢查；專門模型焦點：依風險與證據不足定義安全拒答及轉介</x:v>
      </x:c>
      <x:c r="J74" s="37" t="str">
        <x:v>與多個專業 Agent 協作拆解任務，保留交接證據、逾時升級並在失敗時安全回滾</x:v>
      </x:c>
      <x:c r="K74" s="37" t="str">
        <x:v>L2 建議／需核准</x:v>
      </x:c>
      <x:c r="L74" s="37" t="str">
        <x:v>模型請求、提示、回應、評測集、知識片段、使用回饋</x:v>
      </x:c>
      <x:c r="M74" s="37" t="str">
        <x:v>LLM Gateway、向量資料庫、BI、資料湖、IAM、APM</x:v>
      </x:c>
      <x:c r="N74" s="37" t="str">
        <x:v>企業同時使用私有與外部模型，需要兼顧品質、成本、隱私與可用性。Demo：匯入一組去識別資料，觸發「依風險與證據不足定義安全拒答及轉介」，由系統提出證據、建議與下一步；使用者核准後回寫任務，最後呈現「避免硬答高風險問題」前後差異。</x:v>
      </x:c>
      <x:c r="O74" s="37" t="str">
        <x:v>中低</x:v>
      </x:c>
      <x:c r="P74" s="37" t="str">
        <x:v>鄰近既有能力：原有系統可能使用生成式 AI，但未涵蓋企業級模型營運與品質工程。本 App 的獨立邊界是「依風險與證據不足定義安全拒答及轉介」，主要產出為「避免硬答高風險問題」，不是一般登錄、查詢或看板。</x:v>
      </x:c>
      <x:c r="Q74" s="38" t="n">
        <x:v>5</x:v>
      </x:c>
      <x:c r="R74" s="38" t="n">
        <x:v>5</x:v>
      </x:c>
      <x:c r="S74" s="38" t="str">
        <x:v>P0</x:v>
      </x:c>
      <x:c r="T74" s="38" t="n">
        <x:v>10</x:v>
      </x:c>
      <x:c r="U74" s="39" t="str">
        <x:v>Wave 1 平台底座／旗艦</x:v>
      </x:c>
    </x:row>
    <x:row r="75" ht="86" customHeight="1">
      <x:c r="A75" s="36" t="str">
        <x:v>JV-071</x:v>
      </x:c>
      <x:c r="B75" s="37" t="str">
        <x:v>LLM 延遲剖析台</x:v>
      </x:c>
      <x:c r="C75" s="37" t="str">
        <x:v>企業 AI／LLM</x:v>
      </x:c>
      <x:c r="D75" s="37" t="str">
        <x:v>推論效能</x:v>
      </x:c>
      <x:c r="E75" s="37" t="str">
        <x:v>資訊、數據、數位轉型</x:v>
      </x:c>
      <x:c r="F75" s="37" t="str">
        <x:v>AI 架構師、資料科學家、應用負責人</x:v>
      </x:c>
      <x:c r="G75" s="37" t="str">
        <x:v>現行作法對「拆解排隊、檢索、首 Token 與工具時間」多靠人工彙整、個人經驗或事後處理，難以一致追蹤，造成決策延遲與重工。</x:v>
      </x:c>
      <x:c r="H75" s="37" t="str">
        <x:v>資料／事件接入；拆解排隊、檢索、首 Token 與工具時間；證據與信心呈現；例外分流與人工覆核；找出回應瓶頸成效追蹤；完整稽核軌跡</x:v>
      </x:c>
      <x:c r="I75" s="37" t="str">
        <x:v>語意分類與實體抽取；風險／信心評分；具證據的生成與摘要；專門模型焦點：拆解排隊、檢索、首 Token 與工具時間</x:v>
      </x:c>
      <x:c r="J75" s="37" t="str">
        <x:v>持續監測事件，達門檻後建立案件、蒐集證據、指派責任並追蹤結案；高風險動作需人工核准</x:v>
      </x:c>
      <x:c r="K75" s="37" t="str">
        <x:v>L3 可執行／關鍵核准</x:v>
      </x:c>
      <x:c r="L75" s="37" t="str">
        <x:v>模型請求、提示、回應、評測集、知識片段、使用回饋</x:v>
      </x:c>
      <x:c r="M75" s="37" t="str">
        <x:v>LLM Gateway、向量資料庫、BI、資料湖、IAM、APM</x:v>
      </x:c>
      <x:c r="N75" s="37" t="str">
        <x:v>企業同時使用私有與外部模型，需要兼顧品質、成本、隱私與可用性。Demo：匯入一組去識別資料，觸發「拆解排隊、檢索、首 Token 與工具時間」，由系統提出證據、建議與下一步；使用者核准後回寫任務，最後呈現「找出回應瓶頸」前後差異。</x:v>
      </x:c>
      <x:c r="O75" s="37" t="str">
        <x:v>中低</x:v>
      </x:c>
      <x:c r="P75" s="37" t="str">
        <x:v>鄰近既有能力：原有系統可能使用生成式 AI，但未涵蓋企業級模型營運與品質工程。本 App 的獨立邊界是「拆解排隊、檢索、首 Token 與工具時間」，主要產出為「找出回應瓶頸」，不是一般登錄、查詢或看板。</x:v>
      </x:c>
      <x:c r="Q75" s="38" t="n">
        <x:v>5</x:v>
      </x:c>
      <x:c r="R75" s="38" t="n">
        <x:v>3</x:v>
      </x:c>
      <x:c r="S75" s="38" t="str">
        <x:v>P0</x:v>
      </x:c>
      <x:c r="T75" s="38" t="n">
        <x:v>6</x:v>
      </x:c>
      <x:c r="U75" s="39" t="str">
        <x:v>Wave 1 平台底座／旗艦</x:v>
      </x:c>
    </x:row>
    <x:row r="76" ht="86" customHeight="1">
      <x:c r="A76" s="36" t="str">
        <x:v>JV-072</x:v>
      </x:c>
      <x:c r="B76" s="37" t="str">
        <x:v>LLM 批次推論排程器</x:v>
      </x:c>
      <x:c r="C76" s="37" t="str">
        <x:v>企業 AI／LLM</x:v>
      </x:c>
      <x:c r="D76" s="37" t="str">
        <x:v>推論效能</x:v>
      </x:c>
      <x:c r="E76" s="37" t="str">
        <x:v>資訊、數據、數位轉型</x:v>
      </x:c>
      <x:c r="F76" s="37" t="str">
        <x:v>AI 架構師、資料科學家、應用負責人</x:v>
      </x:c>
      <x:c r="G76" s="37" t="str">
        <x:v>現行作法對「合併非即時任務並利用低成本時段」多靠人工彙整、個人經驗或事後處理，難以一致追蹤，造成決策延遲與重工。</x:v>
      </x:c>
      <x:c r="H76" s="37" t="str">
        <x:v>資料／事件接入；合併非即時任務並利用低成本時段；證據與信心呈現；例外分流與人工覆核；降低大批處理成本成效追蹤；完整稽核軌跡</x:v>
      </x:c>
      <x:c r="I76" s="37" t="str">
        <x:v>預測與情境模擬；多目標最佳化；不確定性呈現；專門模型焦點：合併非即時任務並利用低成本時段</x:v>
      </x:c>
      <x:c r="J76" s="37" t="str">
        <x:v>定期掃描資料與外部訊號，提出優先序與建議；經核准後同步任務與更新來源系統</x:v>
      </x:c>
      <x:c r="K76" s="37" t="str">
        <x:v>L4 有護欄自主執行</x:v>
      </x:c>
      <x:c r="L76" s="37" t="str">
        <x:v>模型請求、提示、回應、評測集、知識片段、使用回饋</x:v>
      </x:c>
      <x:c r="M76" s="37" t="str">
        <x:v>LLM Gateway、向量資料庫、BI、資料湖、IAM、APM</x:v>
      </x:c>
      <x:c r="N76" s="37" t="str">
        <x:v>企業同時使用私有與外部模型，需要兼顧品質、成本、隱私與可用性。Demo：匯入一組去識別資料，觸發「合併非即時任務並利用低成本時段」，由系統提出證據、建議與下一步；使用者核准後回寫任務，最後呈現「降低大批處理成本」前後差異。</x:v>
      </x:c>
      <x:c r="O76" s="37" t="str">
        <x:v>低</x:v>
      </x:c>
      <x:c r="P76" s="37" t="str">
        <x:v>鄰近既有能力：原有系統可能使用生成式 AI，但未涵蓋企業級模型營運與品質工程。本 App 的獨立邊界是「合併非即時任務並利用低成本時段」，主要產出為「降低大批處理成本」，不是一般登錄、查詢或看板。</x:v>
      </x:c>
      <x:c r="Q76" s="38" t="n">
        <x:v>4</x:v>
      </x:c>
      <x:c r="R76" s="38" t="n">
        <x:v>4</x:v>
      </x:c>
      <x:c r="S76" s="38" t="str">
        <x:v>P0</x:v>
      </x:c>
      <x:c r="T76" s="38" t="n">
        <x:v>8</x:v>
      </x:c>
      <x:c r="U76" s="39" t="str">
        <x:v>Wave 1 平台底座／旗艦</x:v>
      </x:c>
    </x:row>
    <x:row r="77" ht="86" customHeight="1">
      <x:c r="A77" s="36" t="str">
        <x:v>JV-073</x:v>
      </x:c>
      <x:c r="B77" s="37" t="str">
        <x:v>LLM 語意快取中心</x:v>
      </x:c>
      <x:c r="C77" s="37" t="str">
        <x:v>企業 AI／LLM</x:v>
      </x:c>
      <x:c r="D77" s="37" t="str">
        <x:v>推論效能</x:v>
      </x:c>
      <x:c r="E77" s="37" t="str">
        <x:v>資訊、數據、數位轉型</x:v>
      </x:c>
      <x:c r="F77" s="37" t="str">
        <x:v>AI 架構師、資料科學家、應用負責人</x:v>
      </x:c>
      <x:c r="G77" s="37" t="str">
        <x:v>現行作法對「以意圖與資料版本判斷可安全重用答案」多靠人工彙整、個人經驗或事後處理，難以一致追蹤，造成決策延遲與重工。</x:v>
      </x:c>
      <x:c r="H77" s="37" t="str">
        <x:v>資料／事件接入；以意圖與資料版本判斷可安全重用答案；證據與信心呈現；例外分流與人工覆核；減少重複推論成效追蹤；完整稽核軌跡</x:v>
      </x:c>
      <x:c r="I77" s="37" t="str">
        <x:v>跨文件／跨系統比對；圖譜推理；差異與缺口生成；專門模型焦點：以意圖與資料版本判斷可安全重用答案</x:v>
      </x:c>
      <x:c r="J77" s="37" t="str">
        <x:v>以人機協作模式先產生草案與證據包，接受修改後執行核准步驟並建立完整稽核軌跡</x:v>
      </x:c>
      <x:c r="K77" s="37" t="str">
        <x:v>L3 可執行／關鍵核准</x:v>
      </x:c>
      <x:c r="L77" s="37" t="str">
        <x:v>模型請求、提示、回應、評測集、知識片段、使用回饋</x:v>
      </x:c>
      <x:c r="M77" s="37" t="str">
        <x:v>LLM Gateway、向量資料庫、BI、資料湖、IAM、APM</x:v>
      </x:c>
      <x:c r="N77" s="37" t="str">
        <x:v>企業同時使用私有與外部模型，需要兼顧品質、成本、隱私與可用性。Demo：匯入一組去識別資料，觸發「以意圖與資料版本判斷可安全重用答案」，由系統提出證據、建議與下一步；使用者核准後回寫任務，最後呈現「減少重複推論」前後差異。</x:v>
      </x:c>
      <x:c r="O77" s="37" t="str">
        <x:v>低</x:v>
      </x:c>
      <x:c r="P77" s="37" t="str">
        <x:v>鄰近既有能力：原有系統可能使用生成式 AI，但未涵蓋企業級模型營運與品質工程。本 App 的獨立邊界是「以意圖與資料版本判斷可安全重用答案」，主要產出為「減少重複推論」，不是一般登錄、查詢或看板。</x:v>
      </x:c>
      <x:c r="Q77" s="38" t="n">
        <x:v>5</x:v>
      </x:c>
      <x:c r="R77" s="38" t="n">
        <x:v>4</x:v>
      </x:c>
      <x:c r="S77" s="38" t="str">
        <x:v>P1</x:v>
      </x:c>
      <x:c r="T77" s="38" t="n">
        <x:v>9</x:v>
      </x:c>
      <x:c r="U77" s="39" t="str">
        <x:v>Wave 2 高價值套件</x:v>
      </x:c>
    </x:row>
    <x:row r="78" ht="86" customHeight="1">
      <x:c r="A78" s="36" t="str">
        <x:v>JV-074</x:v>
      </x:c>
      <x:c r="B78" s="37" t="str">
        <x:v>LLM 降級策略控制器</x:v>
      </x:c>
      <x:c r="C78" s="37" t="str">
        <x:v>企業 AI／LLM</x:v>
      </x:c>
      <x:c r="D78" s="37" t="str">
        <x:v>推論效能</x:v>
      </x:c>
      <x:c r="E78" s="37" t="str">
        <x:v>資訊、數據、數位轉型</x:v>
      </x:c>
      <x:c r="F78" s="37" t="str">
        <x:v>AI 架構師、資料科學家、應用負責人</x:v>
      </x:c>
      <x:c r="G78" s="37" t="str">
        <x:v>現行作法對「模型故障時切換小模型、規則或人工流程」多靠人工彙整、個人經驗或事後處理，難以一致追蹤，造成決策延遲與重工。</x:v>
      </x:c>
      <x:c r="H78" s="37" t="str">
        <x:v>資料／事件接入；模型故障時切換小模型、規則或人工流程；證據與信心呈現；例外分流與人工覆核；維持服務可用成效追蹤；完整稽核軌跡</x:v>
      </x:c>
      <x:c r="I78" s="37" t="str">
        <x:v>異常偵測；因果線索分析；可解釋的建議排序；專門模型焦點：模型故障時切換小模型、規則或人工流程</x:v>
      </x:c>
      <x:c r="J78" s="37" t="str">
        <x:v>依目標自主規劃步驟、呼叫核准工具、遇到例外改走人工佇列，完成後驗證結果並回報</x:v>
      </x:c>
      <x:c r="K78" s="37" t="str">
        <x:v>L4 有護欄自主執行</x:v>
      </x:c>
      <x:c r="L78" s="37" t="str">
        <x:v>模型請求、提示、回應、評測集、知識片段、使用回饋</x:v>
      </x:c>
      <x:c r="M78" s="37" t="str">
        <x:v>LLM Gateway、向量資料庫、BI、資料湖、IAM、APM</x:v>
      </x:c>
      <x:c r="N78" s="37" t="str">
        <x:v>企業同時使用私有與外部模型，需要兼顧品質、成本、隱私與可用性。Demo：匯入一組去識別資料，觸發「模型故障時切換小模型、規則或人工流程」，由系統提出證據、建議與下一步；使用者核准後回寫任務，最後呈現「維持服務可用」前後差異。</x:v>
      </x:c>
      <x:c r="O78" s="37" t="str">
        <x:v>低</x:v>
      </x:c>
      <x:c r="P78" s="37" t="str">
        <x:v>鄰近既有能力：原有系統可能使用生成式 AI，但未涵蓋企業級模型營運與品質工程。本 App 的獨立邊界是「模型故障時切換小模型、規則或人工流程」，主要產出為「維持服務可用」，不是一般登錄、查詢或看板。</x:v>
      </x:c>
      <x:c r="Q78" s="38" t="n">
        <x:v>5</x:v>
      </x:c>
      <x:c r="R78" s="38" t="n">
        <x:v>4</x:v>
      </x:c>
      <x:c r="S78" s="38" t="str">
        <x:v>P0</x:v>
      </x:c>
      <x:c r="T78" s="38" t="n">
        <x:v>8</x:v>
      </x:c>
      <x:c r="U78" s="39" t="str">
        <x:v>Wave 1 平台底座／旗艦</x:v>
      </x:c>
    </x:row>
    <x:row r="79" ht="86" customHeight="1">
      <x:c r="A79" s="36" t="str">
        <x:v>JV-075</x:v>
      </x:c>
      <x:c r="B79" s="37" t="str">
        <x:v>LLM 容量壓力測試器</x:v>
      </x:c>
      <x:c r="C79" s="37" t="str">
        <x:v>企業 AI／LLM</x:v>
      </x:c>
      <x:c r="D79" s="37" t="str">
        <x:v>推論效能</x:v>
      </x:c>
      <x:c r="E79" s="37" t="str">
        <x:v>資訊、數據、數位轉型</x:v>
      </x:c>
      <x:c r="F79" s="37" t="str">
        <x:v>AI 架構師、資料科學家、應用負責人</x:v>
      </x:c>
      <x:c r="G79" s="37" t="str">
        <x:v>現行作法對「模擬併發、限流與供應商中斷」多靠人工彙整、個人經驗或事後處理，難以一致追蹤，造成決策延遲與重工。</x:v>
      </x:c>
      <x:c r="H79" s="37" t="str">
        <x:v>資料／事件接入；模擬併發、限流與供應商中斷；證據與信心呈現；例外分流與人工覆核；驗證尖峰韌性成效追蹤；完整稽核軌跡</x:v>
      </x:c>
      <x:c r="I79" s="37" t="str">
        <x:v>RAG 檢索與來源引用；規則＋模型混合判斷；矛盾檢查；專門模型焦點：模擬併發、限流與供應商中斷</x:v>
      </x:c>
      <x:c r="J79" s="37" t="str">
        <x:v>與多個專業 Agent 協作拆解任務，保留交接證據、逾時升級並在失敗時安全回滾</x:v>
      </x:c>
      <x:c r="K79" s="37" t="str">
        <x:v>L2 建議／需核准</x:v>
      </x:c>
      <x:c r="L79" s="37" t="str">
        <x:v>模型請求、提示、回應、評測集、知識片段、使用回饋</x:v>
      </x:c>
      <x:c r="M79" s="37" t="str">
        <x:v>LLM Gateway、向量資料庫、BI、資料湖、IAM、APM</x:v>
      </x:c>
      <x:c r="N79" s="37" t="str">
        <x:v>企業同時使用私有與外部模型，需要兼顧品質、成本、隱私與可用性。Demo：匯入一組去識別資料，觸發「模擬併發、限流與供應商中斷」，由系統提出證據、建議與下一步；使用者核准後回寫任務，最後呈現「驗證尖峰韌性」前後差異。</x:v>
      </x:c>
      <x:c r="O79" s="37" t="str">
        <x:v>中低</x:v>
      </x:c>
      <x:c r="P79" s="37" t="str">
        <x:v>鄰近既有能力：原有系統可能使用生成式 AI，但未涵蓋企業級模型營運與品質工程。本 App 的獨立邊界是「模擬併發、限流與供應商中斷」，主要產出為「驗證尖峰韌性」，不是一般登錄、查詢或看板。</x:v>
      </x:c>
      <x:c r="Q79" s="38" t="n">
        <x:v>5</x:v>
      </x:c>
      <x:c r="R79" s="38" t="n">
        <x:v>5</x:v>
      </x:c>
      <x:c r="S79" s="38" t="str">
        <x:v>P0</x:v>
      </x:c>
      <x:c r="T79" s="38" t="n">
        <x:v>10</x:v>
      </x:c>
      <x:c r="U79" s="39" t="str">
        <x:v>Wave 1 平台底座／旗艦</x:v>
      </x:c>
    </x:row>
    <x:row r="80" ht="86" customHeight="1">
      <x:c r="A80" s="36" t="str">
        <x:v>JV-076</x:v>
      </x:c>
      <x:c r="B80" s="37" t="str">
        <x:v>LLM 使用者回饋歸因器</x:v>
      </x:c>
      <x:c r="C80" s="37" t="str">
        <x:v>企業 AI／LLM</x:v>
      </x:c>
      <x:c r="D80" s="37" t="str">
        <x:v>回饋與改善</x:v>
      </x:c>
      <x:c r="E80" s="37" t="str">
        <x:v>資訊、數據、數位轉型</x:v>
      </x:c>
      <x:c r="F80" s="37" t="str">
        <x:v>AI 架構師、資料科學家、應用負責人</x:v>
      </x:c>
      <x:c r="G80" s="37" t="str">
        <x:v>現行作法對「把負評連結到模型、提示、檢索與資料版本」多靠人工彙整、個人經驗或事後處理，難以一致追蹤，造成決策延遲與重工。</x:v>
      </x:c>
      <x:c r="H80" s="37" t="str">
        <x:v>資料／事件接入；把負評連結到模型、提示、檢索與資料版本；證據與信心呈現；例外分流與人工覆核；讓改善有明確責任點成效追蹤；完整稽核軌跡</x:v>
      </x:c>
      <x:c r="I80" s="37" t="str">
        <x:v>語意分類與實體抽取；風險／信心評分；具證據的生成與摘要；專門模型焦點：把負評連結到模型、提示、檢索與資料版本</x:v>
      </x:c>
      <x:c r="J80" s="37" t="str">
        <x:v>持續監測事件，達門檻後建立案件、蒐集證據、指派責任並追蹤結案；高風險動作需人工核准</x:v>
      </x:c>
      <x:c r="K80" s="37" t="str">
        <x:v>L3 可執行／關鍵核准</x:v>
      </x:c>
      <x:c r="L80" s="37" t="str">
        <x:v>模型請求、提示、回應、評測集、知識片段、使用回饋</x:v>
      </x:c>
      <x:c r="M80" s="37" t="str">
        <x:v>LLM Gateway、向量資料庫、BI、資料湖、IAM、APM</x:v>
      </x:c>
      <x:c r="N80" s="37" t="str">
        <x:v>企業同時使用私有與外部模型，需要兼顧品質、成本、隱私與可用性。Demo：匯入一組去識別資料，觸發「把負評連結到模型、提示、檢索與資料版本」，由系統提出證據、建議與下一步；使用者核准後回寫任務，最後呈現「讓改善有明確責任點」前後差異。</x:v>
      </x:c>
      <x:c r="O80" s="37" t="str">
        <x:v>中低</x:v>
      </x:c>
      <x:c r="P80" s="37" t="str">
        <x:v>鄰近既有能力：原有系統可能使用生成式 AI，但未涵蓋企業級模型營運與品質工程。本 App 的獨立邊界是「把負評連結到模型、提示、檢索與資料版本」，主要產出為「讓改善有明確責任點」，不是一般登錄、查詢或看板。</x:v>
      </x:c>
      <x:c r="Q80" s="38" t="n">
        <x:v>5</x:v>
      </x:c>
      <x:c r="R80" s="38" t="n">
        <x:v>3</x:v>
      </x:c>
      <x:c r="S80" s="38" t="str">
        <x:v>P0</x:v>
      </x:c>
      <x:c r="T80" s="38" t="n">
        <x:v>6</x:v>
      </x:c>
      <x:c r="U80" s="39" t="str">
        <x:v>Wave 1 平台底座／旗艦</x:v>
      </x:c>
    </x:row>
    <x:row r="81" ht="86" customHeight="1">
      <x:c r="A81" s="36" t="str">
        <x:v>JV-077</x:v>
      </x:c>
      <x:c r="B81" s="37" t="str">
        <x:v>LLM 錯誤案例分群器</x:v>
      </x:c>
      <x:c r="C81" s="37" t="str">
        <x:v>企業 AI／LLM</x:v>
      </x:c>
      <x:c r="D81" s="37" t="str">
        <x:v>回饋與改善</x:v>
      </x:c>
      <x:c r="E81" s="37" t="str">
        <x:v>資訊、數據、數位轉型</x:v>
      </x:c>
      <x:c r="F81" s="37" t="str">
        <x:v>AI 架構師、資料科學家、應用負責人</x:v>
      </x:c>
      <x:c r="G81" s="37" t="str">
        <x:v>現行作法對「自動聚類失敗案例並估算影響範圍」多靠人工彙整、個人經驗或事後處理，難以一致追蹤，造成決策延遲與重工。</x:v>
      </x:c>
      <x:c r="H81" s="37" t="str">
        <x:v>資料／事件接入；自動聚類失敗案例並估算影響範圍；證據與信心呈現；例外分流與人工覆核；優先處理高頻錯誤成效追蹤；完整稽核軌跡</x:v>
      </x:c>
      <x:c r="I81" s="37" t="str">
        <x:v>預測與情境模擬；多目標最佳化；不確定性呈現；專門模型焦點：自動聚類失敗案例並估算影響範圍</x:v>
      </x:c>
      <x:c r="J81" s="37" t="str">
        <x:v>定期掃描資料與外部訊號，提出優先序與建議；經核准後同步任務與更新來源系統</x:v>
      </x:c>
      <x:c r="K81" s="37" t="str">
        <x:v>L4 有護欄自主執行</x:v>
      </x:c>
      <x:c r="L81" s="37" t="str">
        <x:v>模型請求、提示、回應、評測集、知識片段、使用回饋</x:v>
      </x:c>
      <x:c r="M81" s="37" t="str">
        <x:v>LLM Gateway、向量資料庫、BI、資料湖、IAM、APM</x:v>
      </x:c>
      <x:c r="N81" s="37" t="str">
        <x:v>企業同時使用私有與外部模型，需要兼顧品質、成本、隱私與可用性。Demo：匯入一組去識別資料，觸發「自動聚類失敗案例並估算影響範圍」，由系統提出證據、建議與下一步；使用者核准後回寫任務，最後呈現「優先處理高頻錯誤」前後差異。</x:v>
      </x:c>
      <x:c r="O81" s="37" t="str">
        <x:v>低</x:v>
      </x:c>
      <x:c r="P81" s="37" t="str">
        <x:v>鄰近既有能力：原有系統可能使用生成式 AI，但未涵蓋企業級模型營運與品質工程。本 App 的獨立邊界是「自動聚類失敗案例並估算影響範圍」，主要產出為「優先處理高頻錯誤」，不是一般登錄、查詢或看板。</x:v>
      </x:c>
      <x:c r="Q81" s="38" t="n">
        <x:v>5</x:v>
      </x:c>
      <x:c r="R81" s="38" t="n">
        <x:v>4</x:v>
      </x:c>
      <x:c r="S81" s="38" t="str">
        <x:v>P0</x:v>
      </x:c>
      <x:c r="T81" s="38" t="n">
        <x:v>8</x:v>
      </x:c>
      <x:c r="U81" s="39" t="str">
        <x:v>Wave 1 平台底座／旗艦</x:v>
      </x:c>
    </x:row>
    <x:row r="82" ht="86" customHeight="1">
      <x:c r="A82" s="36" t="str">
        <x:v>JV-078</x:v>
      </x:c>
      <x:c r="B82" s="37" t="str">
        <x:v>LLM 主動學習佇列</x:v>
      </x:c>
      <x:c r="C82" s="37" t="str">
        <x:v>企業 AI／LLM</x:v>
      </x:c>
      <x:c r="D82" s="37" t="str">
        <x:v>回饋與改善</x:v>
      </x:c>
      <x:c r="E82" s="37" t="str">
        <x:v>資訊、數據、數位轉型</x:v>
      </x:c>
      <x:c r="F82" s="37" t="str">
        <x:v>AI 架構師、資料科學家、應用負責人</x:v>
      </x:c>
      <x:c r="G82" s="37" t="str">
        <x:v>現行作法對「挑選最有資訊量案例供專家標註」多靠人工彙整、個人經驗或事後處理，難以一致追蹤，造成決策延遲與重工。</x:v>
      </x:c>
      <x:c r="H82" s="37" t="str">
        <x:v>資料／事件接入；挑選最有資訊量案例供專家標註；證據與信心呈現；例外分流與人工覆核；降低標註成本成效追蹤；完整稽核軌跡</x:v>
      </x:c>
      <x:c r="I82" s="37" t="str">
        <x:v>跨文件／跨系統比對；圖譜推理；差異與缺口生成；專門模型焦點：挑選最有資訊量案例供專家標註</x:v>
      </x:c>
      <x:c r="J82" s="37" t="str">
        <x:v>以人機協作模式先產生草案與證據包，接受修改後執行核准步驟並建立完整稽核軌跡</x:v>
      </x:c>
      <x:c r="K82" s="37" t="str">
        <x:v>L4 有護欄自主執行</x:v>
      </x:c>
      <x:c r="L82" s="37" t="str">
        <x:v>模型請求、提示、回應、評測集、知識片段、使用回饋</x:v>
      </x:c>
      <x:c r="M82" s="37" t="str">
        <x:v>LLM Gateway、向量資料庫、BI、資料湖、IAM、APM</x:v>
      </x:c>
      <x:c r="N82" s="37" t="str">
        <x:v>企業同時使用私有與外部模型，需要兼顧品質、成本、隱私與可用性。Demo：匯入一組去識別資料，觸發「挑選最有資訊量案例供專家標註」，由系統提出證據、建議與下一步；使用者核准後回寫任務，最後呈現「降低標註成本」前後差異。</x:v>
      </x:c>
      <x:c r="O82" s="37" t="str">
        <x:v>低</x:v>
      </x:c>
      <x:c r="P82" s="37" t="str">
        <x:v>鄰近既有能力：原有系統可能使用生成式 AI，但未涵蓋企業級模型營運與品質工程。本 App 的獨立邊界是「挑選最有資訊量案例供專家標註」，主要產出為「降低標註成本」，不是一般登錄、查詢或看板。</x:v>
      </x:c>
      <x:c r="Q82" s="38" t="n">
        <x:v>4</x:v>
      </x:c>
      <x:c r="R82" s="38" t="n">
        <x:v>4</x:v>
      </x:c>
      <x:c r="S82" s="38" t="str">
        <x:v>P0</x:v>
      </x:c>
      <x:c r="T82" s="38" t="n">
        <x:v>8</x:v>
      </x:c>
      <x:c r="U82" s="39" t="str">
        <x:v>Wave 1 平台底座／旗艦</x:v>
      </x:c>
    </x:row>
    <x:row r="83" ht="86" customHeight="1">
      <x:c r="A83" s="36" t="str">
        <x:v>JV-079</x:v>
      </x:c>
      <x:c r="B83" s="37" t="str">
        <x:v>LLM 回答風格治理器</x:v>
      </x:c>
      <x:c r="C83" s="37" t="str">
        <x:v>企業 AI／LLM</x:v>
      </x:c>
      <x:c r="D83" s="37" t="str">
        <x:v>回饋與改善</x:v>
      </x:c>
      <x:c r="E83" s="37" t="str">
        <x:v>資訊、數據、數位轉型</x:v>
      </x:c>
      <x:c r="F83" s="37" t="str">
        <x:v>AI 架構師、資料科學家、應用負責人</x:v>
      </x:c>
      <x:c r="G83" s="37" t="str">
        <x:v>現行作法對「檢查品牌語氣、格式與專業用語一致性」多靠人工彙整、個人經驗或事後處理，難以一致追蹤，造成決策延遲與重工。</x:v>
      </x:c>
      <x:c r="H83" s="37" t="str">
        <x:v>資料／事件接入；檢查品牌語氣、格式與專業用語一致性；證據與信心呈現；例外分流與人工覆核；統一企業輸出成效追蹤；完整稽核軌跡</x:v>
      </x:c>
      <x:c r="I83" s="37" t="str">
        <x:v>異常偵測；因果線索分析；可解釋的建議排序；專門模型焦點：檢查品牌語氣、格式與專業用語一致性</x:v>
      </x:c>
      <x:c r="J83" s="37" t="str">
        <x:v>依目標自主規劃步驟、呼叫核准工具、遇到例外改走人工佇列，完成後驗證結果並回報</x:v>
      </x:c>
      <x:c r="K83" s="37" t="str">
        <x:v>L4 有護欄自主執行</x:v>
      </x:c>
      <x:c r="L83" s="37" t="str">
        <x:v>模型請求、提示、回應、評測集、知識片段、使用回饋</x:v>
      </x:c>
      <x:c r="M83" s="37" t="str">
        <x:v>LLM Gateway、向量資料庫、BI、資料湖、IAM、APM</x:v>
      </x:c>
      <x:c r="N83" s="37" t="str">
        <x:v>企業同時使用私有與外部模型，需要兼顧品質、成本、隱私與可用性。Demo：匯入一組去識別資料，觸發「檢查品牌語氣、格式與專業用語一致性」，由系統提出證據、建議與下一步；使用者核准後回寫任務，最後呈現「統一企業輸出」前後差異。</x:v>
      </x:c>
      <x:c r="O83" s="37" t="str">
        <x:v>低</x:v>
      </x:c>
      <x:c r="P83" s="37" t="str">
        <x:v>鄰近既有能力：原有系統可能使用生成式 AI，但未涵蓋企業級模型營運與品質工程。本 App 的獨立邊界是「檢查品牌語氣、格式與專業用語一致性」，主要產出為「統一企業輸出」，不是一般登錄、查詢或看板。</x:v>
      </x:c>
      <x:c r="Q83" s="38" t="n">
        <x:v>5</x:v>
      </x:c>
      <x:c r="R83" s="38" t="n">
        <x:v>4</x:v>
      </x:c>
      <x:c r="S83" s="38" t="str">
        <x:v>P0</x:v>
      </x:c>
      <x:c r="T83" s="38" t="n">
        <x:v>8</x:v>
      </x:c>
      <x:c r="U83" s="39" t="str">
        <x:v>Wave 1 平台底座／旗艦</x:v>
      </x:c>
    </x:row>
    <x:row r="84" ht="86" customHeight="1">
      <x:c r="A84" s="36" t="str">
        <x:v>JV-080</x:v>
      </x:c>
      <x:c r="B84" s="37" t="str">
        <x:v>LLM 改善實驗追蹤器</x:v>
      </x:c>
      <x:c r="C84" s="37" t="str">
        <x:v>企業 AI／LLM</x:v>
      </x:c>
      <x:c r="D84" s="37" t="str">
        <x:v>回饋與改善</x:v>
      </x:c>
      <x:c r="E84" s="37" t="str">
        <x:v>資訊、數據、數位轉型</x:v>
      </x:c>
      <x:c r="F84" s="37" t="str">
        <x:v>AI 架構師、資料科學家、應用負責人</x:v>
      </x:c>
      <x:c r="G84" s="37" t="str">
        <x:v>現行作法對「記錄假設、A/B 結果與是否正式採用」多靠人工彙整、個人經驗或事後處理，難以一致追蹤，造成決策延遲與重工。</x:v>
      </x:c>
      <x:c r="H84" s="37" t="str">
        <x:v>資料／事件接入；記錄假設、A/B 結果與是否正式採用；證據與信心呈現；例外分流與人工覆核；建立可重複的優化循環成效追蹤；完整稽核軌跡</x:v>
      </x:c>
      <x:c r="I84" s="37" t="str">
        <x:v>RAG 檢索與來源引用；規則＋模型混合判斷；矛盾檢查；專門模型焦點：記錄假設、A/B 結果與是否正式採用</x:v>
      </x:c>
      <x:c r="J84" s="37" t="str">
        <x:v>與多個專業 Agent 協作拆解任務，保留交接證據、逾時升級並在失敗時安全回滾</x:v>
      </x:c>
      <x:c r="K84" s="37" t="str">
        <x:v>L2 建議／需核准</x:v>
      </x:c>
      <x:c r="L84" s="37" t="str">
        <x:v>模型請求、提示、回應、評測集、知識片段、使用回饋</x:v>
      </x:c>
      <x:c r="M84" s="37" t="str">
        <x:v>LLM Gateway、向量資料庫、BI、資料湖、IAM、APM</x:v>
      </x:c>
      <x:c r="N84" s="37" t="str">
        <x:v>企業同時使用私有與外部模型，需要兼顧品質、成本、隱私與可用性。Demo：匯入一組去識別資料，觸發「記錄假設、A/B 結果與是否正式採用」，由系統提出證據、建議與下一步；使用者核准後回寫任務，最後呈現「建立可重複的優化循環」前後差異。</x:v>
      </x:c>
      <x:c r="O84" s="37" t="str">
        <x:v>中低</x:v>
      </x:c>
      <x:c r="P84" s="37" t="str">
        <x:v>鄰近既有能力：原有系統可能使用生成式 AI，但未涵蓋企業級模型營運與品質工程。本 App 的獨立邊界是「記錄假設、A/B 結果與是否正式採用」，主要產出為「建立可重複的優化循環」，不是一般登錄、查詢或看板。</x:v>
      </x:c>
      <x:c r="Q84" s="38" t="n">
        <x:v>5</x:v>
      </x:c>
      <x:c r="R84" s="38" t="n">
        <x:v>5</x:v>
      </x:c>
      <x:c r="S84" s="38" t="str">
        <x:v>P0</x:v>
      </x:c>
      <x:c r="T84" s="38" t="n">
        <x:v>10</x:v>
      </x:c>
      <x:c r="U84" s="39" t="str">
        <x:v>Wave 1 平台底座／旗艦</x:v>
      </x:c>
    </x:row>
    <x:row r="85" ht="86" customHeight="1">
      <x:c r="A85" s="36" t="str">
        <x:v>JV-081</x:v>
      </x:c>
      <x:c r="B85" s="37" t="str">
        <x:v>Shadow AI 發現雷達</x:v>
      </x:c>
      <x:c r="C85" s="37" t="str">
        <x:v>AI Security／Governance</x:v>
      </x:c>
      <x:c r="D85" s="37" t="str">
        <x:v>Shadow AI</x:v>
      </x:c>
      <x:c r="E85" s="37" t="str">
        <x:v>資訊安全、法遵、內控、資料治理</x:v>
      </x:c>
      <x:c r="F85" s="37" t="str">
        <x:v>CISO、AI 治理主管、資安分析師、稽核人員</x:v>
      </x:c>
      <x:c r="G85" s="37" t="str">
        <x:v>現行作法對「從網路、瀏覽器與費用資料辨識未核准 AI」多靠人工彙整、個人經驗或事後處理，難以一致追蹤，造成決策延遲與重工。</x:v>
      </x:c>
      <x:c r="H85" s="37" t="str">
        <x:v>資料／事件接入；從網路、瀏覽器與費用資料辨識未核准 AI；證據與信心呈現；例外分流與人工覆核；建立真實使用清冊成效追蹤；完整稽核軌跡</x:v>
      </x:c>
      <x:c r="I85" s="37" t="str">
        <x:v>語意分類與實體抽取；風險／信心評分；具證據的生成與摘要；專門模型焦點：從網路、瀏覽器與費用資料辨識未核准 AI</x:v>
      </x:c>
      <x:c r="J85" s="37" t="str">
        <x:v>持續監測事件，達門檻後建立案件、蒐集證據、指派責任並追蹤結案；高風險動作需人工核准</x:v>
      </x:c>
      <x:c r="K85" s="37" t="str">
        <x:v>L3 可執行／關鍵核准</x:v>
      </x:c>
      <x:c r="L85" s="37" t="str">
        <x:v>AI 流量、敏感資料標籤、模型清單、資安事件、政策、供應商資料</x:v>
      </x:c>
      <x:c r="M85" s="37" t="str">
        <x:v>DLP、CASB、SIEM、IAM、LLM Gateway、EDR、GRC</x:v>
      </x:c>
      <x:c r="N85" s="37" t="str">
        <x:v>員工與系統大量使用外部 AI，企業需看見、限制並證明每次使用符合政策。Demo：匯入一組去識別資料，觸發「從網路、瀏覽器與費用資料辨識未核准 AI」，由系統提出證據、建議與下一步；使用者核准後回寫任務，最後呈現「建立真實使用清冊」前後差異。</x:v>
      </x:c>
      <x:c r="O85" s="37" t="str">
        <x:v>中低</x:v>
      </x:c>
      <x:c r="P85" s="37" t="str">
        <x:v>鄰近既有能力：原有資安多涵蓋 IT/OT，未必涵蓋生成式 AI 與自主 Agent 的新型風險。本 App 的獨立邊界是「從網路、瀏覽器與費用資料辨識未核准 AI」，主要產出為「建立真實使用清冊」，不是一般登錄、查詢或看板。</x:v>
      </x:c>
      <x:c r="Q85" s="38" t="n">
        <x:v>5</x:v>
      </x:c>
      <x:c r="R85" s="38" t="n">
        <x:v>3</x:v>
      </x:c>
      <x:c r="S85" s="38" t="str">
        <x:v>P0</x:v>
      </x:c>
      <x:c r="T85" s="38" t="n">
        <x:v>6</x:v>
      </x:c>
      <x:c r="U85" s="39" t="str">
        <x:v>Wave 1 平台底座／旗艦</x:v>
      </x:c>
    </x:row>
    <x:row r="86" ht="86" customHeight="1">
      <x:c r="A86" s="36" t="str">
        <x:v>JV-082</x:v>
      </x:c>
      <x:c r="B86" s="37" t="str">
        <x:v>AI SaaS 風險評分台</x:v>
      </x:c>
      <x:c r="C86" s="37" t="str">
        <x:v>AI Security／Governance</x:v>
      </x:c>
      <x:c r="D86" s="37" t="str">
        <x:v>Shadow AI</x:v>
      </x:c>
      <x:c r="E86" s="37" t="str">
        <x:v>資訊安全、法遵、內控、資料治理</x:v>
      </x:c>
      <x:c r="F86" s="37" t="str">
        <x:v>CISO、AI 治理主管、資安分析師、稽核人員</x:v>
      </x:c>
      <x:c r="G86" s="37" t="str">
        <x:v>現行作法對「評估資料保留、訓練使用、地區與合約條款」多靠人工彙整、個人經驗或事後處理，難以一致追蹤，造成決策延遲與重工。</x:v>
      </x:c>
      <x:c r="H86" s="37" t="str">
        <x:v>資料／事件接入；評估資料保留、訓練使用、地區與合約條款；證據與信心呈現；例外分流與人工覆核；支援准用決策成效追蹤；完整稽核軌跡</x:v>
      </x:c>
      <x:c r="I86" s="37" t="str">
        <x:v>預測與情境模擬；多目標最佳化；不確定性呈現；專門模型焦點：評估資料保留、訓練使用、地區與合約條款</x:v>
      </x:c>
      <x:c r="J86" s="37" t="str">
        <x:v>定期掃描資料與外部訊號，提出優先序與建議；經核准後同步任務與更新來源系統</x:v>
      </x:c>
      <x:c r="K86" s="37" t="str">
        <x:v>L4 有護欄自主執行</x:v>
      </x:c>
      <x:c r="L86" s="37" t="str">
        <x:v>AI 流量、敏感資料標籤、模型清單、資安事件、政策、供應商資料</x:v>
      </x:c>
      <x:c r="M86" s="37" t="str">
        <x:v>DLP、CASB、SIEM、IAM、LLM Gateway、EDR、GRC</x:v>
      </x:c>
      <x:c r="N86" s="37" t="str">
        <x:v>員工與系統大量使用外部 AI，企業需看見、限制並證明每次使用符合政策。Demo：匯入一組去識別資料，觸發「評估資料保留、訓練使用、地區與合約條款」，由系統提出證據、建議與下一步；使用者核准後回寫任務，最後呈現「支援准用決策」前後差異。</x:v>
      </x:c>
      <x:c r="O86" s="37" t="str">
        <x:v>低</x:v>
      </x:c>
      <x:c r="P86" s="37" t="str">
        <x:v>鄰近既有能力：原有資安多涵蓋 IT/OT，未必涵蓋生成式 AI 與自主 Agent 的新型風險。本 App 的獨立邊界是「評估資料保留、訓練使用、地區與合約條款」，主要產出為「支援准用決策」，不是一般登錄、查詢或看板。</x:v>
      </x:c>
      <x:c r="Q86" s="38" t="n">
        <x:v>5</x:v>
      </x:c>
      <x:c r="R86" s="38" t="n">
        <x:v>4</x:v>
      </x:c>
      <x:c r="S86" s="38" t="str">
        <x:v>P0</x:v>
      </x:c>
      <x:c r="T86" s="38" t="n">
        <x:v>8</x:v>
      </x:c>
      <x:c r="U86" s="39" t="str">
        <x:v>Wave 1 平台底座／旗艦</x:v>
      </x:c>
    </x:row>
    <x:row r="87" ht="86" customHeight="1">
      <x:c r="A87" s="36" t="str">
        <x:v>JV-083</x:v>
      </x:c>
      <x:c r="B87" s="37" t="str">
        <x:v>未核准模型阻擋器</x:v>
      </x:c>
      <x:c r="C87" s="37" t="str">
        <x:v>AI Security／Governance</x:v>
      </x:c>
      <x:c r="D87" s="37" t="str">
        <x:v>Shadow AI</x:v>
      </x:c>
      <x:c r="E87" s="37" t="str">
        <x:v>資訊安全、法遵、內控、資料治理</x:v>
      </x:c>
      <x:c r="F87" s="37" t="str">
        <x:v>CISO、AI 治理主管、資安分析師、稽核人員</x:v>
      </x:c>
      <x:c r="G87" s="37" t="str">
        <x:v>現行作法對「依角色與資料類型阻擋或導向核准服務」多靠人工彙整、個人經驗或事後處理，難以一致追蹤，造成決策延遲與重工。</x:v>
      </x:c>
      <x:c r="H87" s="37" t="str">
        <x:v>資料／事件接入；依角色與資料類型阻擋或導向核准服務；證據與信心呈現；例外分流與人工覆核；把政策落實到流量成效追蹤；完整稽核軌跡</x:v>
      </x:c>
      <x:c r="I87" s="37" t="str">
        <x:v>跨文件／跨系統比對；圖譜推理；差異與缺口生成；專門模型焦點：依角色與資料類型阻擋或導向核准服務</x:v>
      </x:c>
      <x:c r="J87" s="37" t="str">
        <x:v>以人機協作模式先產生草案與證據包，接受修改後執行核准步驟並建立完整稽核軌跡</x:v>
      </x:c>
      <x:c r="K87" s="37" t="str">
        <x:v>L4 有護欄自主執行</x:v>
      </x:c>
      <x:c r="L87" s="37" t="str">
        <x:v>AI 流量、敏感資料標籤、模型清單、資安事件、政策、供應商資料</x:v>
      </x:c>
      <x:c r="M87" s="37" t="str">
        <x:v>DLP、CASB、SIEM、IAM、LLM Gateway、EDR、GRC</x:v>
      </x:c>
      <x:c r="N87" s="37" t="str">
        <x:v>員工與系統大量使用外部 AI，企業需看見、限制並證明每次使用符合政策。Demo：匯入一組去識別資料，觸發「依角色與資料類型阻擋或導向核准服務」，由系統提出證據、建議與下一步；使用者核准後回寫任務，最後呈現「把政策落實到流量」前後差異。</x:v>
      </x:c>
      <x:c r="O87" s="37" t="str">
        <x:v>低</x:v>
      </x:c>
      <x:c r="P87" s="37" t="str">
        <x:v>鄰近既有能力：原有資安多涵蓋 IT/OT，未必涵蓋生成式 AI 與自主 Agent 的新型風險。本 App 的獨立邊界是「依角色與資料類型阻擋或導向核准服務」，主要產出為「把政策落實到流量」，不是一般登錄、查詢或看板。</x:v>
      </x:c>
      <x:c r="Q87" s="38" t="n">
        <x:v>5</x:v>
      </x:c>
      <x:c r="R87" s="38" t="n">
        <x:v>4</x:v>
      </x:c>
      <x:c r="S87" s="38" t="str">
        <x:v>P0</x:v>
      </x:c>
      <x:c r="T87" s="38" t="n">
        <x:v>8</x:v>
      </x:c>
      <x:c r="U87" s="39" t="str">
        <x:v>Wave 1 平台底座／旗艦</x:v>
      </x:c>
    </x:row>
    <x:row r="88" ht="86" customHeight="1">
      <x:c r="A88" s="36" t="str">
        <x:v>JV-084</x:v>
      </x:c>
      <x:c r="B88" s="37" t="str">
        <x:v>AI 使用目的登錄站</x:v>
      </x:c>
      <x:c r="C88" s="37" t="str">
        <x:v>AI Security／Governance</x:v>
      </x:c>
      <x:c r="D88" s="37" t="str">
        <x:v>Shadow AI</x:v>
      </x:c>
      <x:c r="E88" s="37" t="str">
        <x:v>資訊安全、法遵、內控、資料治理</x:v>
      </x:c>
      <x:c r="F88" s="37" t="str">
        <x:v>CISO、AI 治理主管、資安分析師、稽核人員</x:v>
      </x:c>
      <x:c r="G88" s="37" t="str">
        <x:v>現行作法對「要求部門登錄用途、資料、責任人與期限」多靠人工彙整、個人經驗或事後處理，難以一致追蹤，造成決策延遲與重工。</x:v>
      </x:c>
      <x:c r="H88" s="37" t="str">
        <x:v>資料／事件接入；要求部門登錄用途、資料、責任人與期限；證據與信心呈現；例外分流與人工覆核；補足治理責任成效追蹤；完整稽核軌跡</x:v>
      </x:c>
      <x:c r="I88" s="37" t="str">
        <x:v>異常偵測；因果線索分析；可解釋的建議排序；專門模型焦點：要求部門登錄用途、資料、責任人與期限</x:v>
      </x:c>
      <x:c r="J88" s="37" t="str">
        <x:v>依目標自主規劃步驟、呼叫核准工具、遇到例外改走人工佇列，完成後驗證結果並回報</x:v>
      </x:c>
      <x:c r="K88" s="37" t="str">
        <x:v>L4 有護欄自主執行</x:v>
      </x:c>
      <x:c r="L88" s="37" t="str">
        <x:v>AI 流量、敏感資料標籤、模型清單、資安事件、政策、供應商資料</x:v>
      </x:c>
      <x:c r="M88" s="37" t="str">
        <x:v>DLP、CASB、SIEM、IAM、LLM Gateway、EDR、GRC</x:v>
      </x:c>
      <x:c r="N88" s="37" t="str">
        <x:v>員工與系統大量使用外部 AI，企業需看見、限制並證明每次使用符合政策。Demo：匯入一組去識別資料，觸發「要求部門登錄用途、資料、責任人與期限」，由系統提出證據、建議與下一步；使用者核准後回寫任務，最後呈現「補足治理責任」前後差異。</x:v>
      </x:c>
      <x:c r="O88" s="37" t="str">
        <x:v>低</x:v>
      </x:c>
      <x:c r="P88" s="37" t="str">
        <x:v>鄰近既有能力：原有資安多涵蓋 IT/OT，未必涵蓋生成式 AI 與自主 Agent 的新型風險。本 App 的獨立邊界是「要求部門登錄用途、資料、責任人與期限」，主要產出為「補足治理責任」，不是一般登錄、查詢或看板。</x:v>
      </x:c>
      <x:c r="Q88" s="38" t="n">
        <x:v>4</x:v>
      </x:c>
      <x:c r="R88" s="38" t="n">
        <x:v>4</x:v>
      </x:c>
      <x:c r="S88" s="38" t="str">
        <x:v>P0</x:v>
      </x:c>
      <x:c r="T88" s="38" t="n">
        <x:v>8</x:v>
      </x:c>
      <x:c r="U88" s="39" t="str">
        <x:v>Wave 1 平台底座／旗艦</x:v>
      </x:c>
    </x:row>
    <x:row r="89" ht="86" customHeight="1">
      <x:c r="A89" s="36" t="str">
        <x:v>JV-085</x:v>
      </x:c>
      <x:c r="B89" s="37" t="str">
        <x:v>AI 採用風險熱圖</x:v>
      </x:c>
      <x:c r="C89" s="37" t="str">
        <x:v>AI Security／Governance</x:v>
      </x:c>
      <x:c r="D89" s="37" t="str">
        <x:v>Shadow AI</x:v>
      </x:c>
      <x:c r="E89" s="37" t="str">
        <x:v>資訊安全、法遵、內控、資料治理</x:v>
      </x:c>
      <x:c r="F89" s="37" t="str">
        <x:v>CISO、AI 治理主管、資安分析師、稽核人員</x:v>
      </x:c>
      <x:c r="G89" s="37" t="str">
        <x:v>現行作法對「按部門呈現使用量、敏感度與未改善風險」多靠人工彙整、個人經驗或事後處理，難以一致追蹤，造成決策延遲與重工。</x:v>
      </x:c>
      <x:c r="H89" s="37" t="str">
        <x:v>資料／事件接入；按部門呈現使用量、敏感度與未改善風險；證據與信心呈現；例外分流與人工覆核；讓主管聚焦高風險區成效追蹤；完整稽核軌跡</x:v>
      </x:c>
      <x:c r="I89" s="37" t="str">
        <x:v>RAG 檢索與來源引用；規則＋模型混合判斷；矛盾檢查；專門模型焦點：按部門呈現使用量、敏感度與未改善風險</x:v>
      </x:c>
      <x:c r="J89" s="37" t="str">
        <x:v>與多個專業 Agent 協作拆解任務，保留交接證據、逾時升級並在失敗時安全回滾</x:v>
      </x:c>
      <x:c r="K89" s="37" t="str">
        <x:v>L2 建議／需核准</x:v>
      </x:c>
      <x:c r="L89" s="37" t="str">
        <x:v>AI 流量、敏感資料標籤、模型清單、資安事件、政策、供應商資料</x:v>
      </x:c>
      <x:c r="M89" s="37" t="str">
        <x:v>DLP、CASB、SIEM、IAM、LLM Gateway、EDR、GRC</x:v>
      </x:c>
      <x:c r="N89" s="37" t="str">
        <x:v>員工與系統大量使用外部 AI，企業需看見、限制並證明每次使用符合政策。Demo：匯入一組去識別資料，觸發「按部門呈現使用量、敏感度與未改善風險」，由系統提出證據、建議與下一步；使用者核准後回寫任務，最後呈現「讓主管聚焦高風險區」前後差異。</x:v>
      </x:c>
      <x:c r="O89" s="37" t="str">
        <x:v>中低</x:v>
      </x:c>
      <x:c r="P89" s="37" t="str">
        <x:v>鄰近既有能力：原有資安多涵蓋 IT/OT，未必涵蓋生成式 AI 與自主 Agent 的新型風險。本 App 的獨立邊界是「按部門呈現使用量、敏感度與未改善風險」，主要產出為「讓主管聚焦高風險區」，不是一般登錄、查詢或看板。</x:v>
      </x:c>
      <x:c r="Q89" s="38" t="n">
        <x:v>5</x:v>
      </x:c>
      <x:c r="R89" s="38" t="n">
        <x:v>5</x:v>
      </x:c>
      <x:c r="S89" s="38" t="str">
        <x:v>P0</x:v>
      </x:c>
      <x:c r="T89" s="38" t="n">
        <x:v>10</x:v>
      </x:c>
      <x:c r="U89" s="39" t="str">
        <x:v>Wave 1 平台底座／旗艦</x:v>
      </x:c>
    </x:row>
    <x:row r="90" ht="86" customHeight="1">
      <x:c r="A90" s="36" t="str">
        <x:v>JV-086</x:v>
      </x:c>
      <x:c r="B90" s="37" t="str">
        <x:v>Prompt Injection 防火牆</x:v>
      </x:c>
      <x:c r="C90" s="37" t="str">
        <x:v>AI Security／Governance</x:v>
      </x:c>
      <x:c r="D90" s="37" t="str">
        <x:v>Prompt 防護</x:v>
      </x:c>
      <x:c r="E90" s="37" t="str">
        <x:v>資訊安全、法遵、內控、資料治理</x:v>
      </x:c>
      <x:c r="F90" s="37" t="str">
        <x:v>CISO、AI 治理主管、資安分析師、稽核人員</x:v>
      </x:c>
      <x:c r="G90" s="37" t="str">
        <x:v>現行作法對「偵測直接與間接注入並隔離惡意指令」多靠人工彙整、個人經驗或事後處理，難以一致追蹤，造成決策延遲與重工。</x:v>
      </x:c>
      <x:c r="H90" s="37" t="str">
        <x:v>資料／事件接入；偵測直接與間接注入並隔離惡意指令；證據與信心呈現；例外分流與人工覆核；保護系統指令與工具成效追蹤；完整稽核軌跡</x:v>
      </x:c>
      <x:c r="I90" s="37" t="str">
        <x:v>語意分類與實體抽取；風險／信心評分；具證據的生成與摘要；專門模型焦點：偵測直接與間接注入並隔離惡意指令</x:v>
      </x:c>
      <x:c r="J90" s="37" t="str">
        <x:v>持續監測事件，達門檻後建立案件、蒐集證據、指派責任並追蹤結案；高風險動作需人工核准</x:v>
      </x:c>
      <x:c r="K90" s="37" t="str">
        <x:v>L3 可執行／關鍵核准</x:v>
      </x:c>
      <x:c r="L90" s="37" t="str">
        <x:v>AI 流量、敏感資料標籤、模型清單、資安事件、政策、供應商資料</x:v>
      </x:c>
      <x:c r="M90" s="37" t="str">
        <x:v>DLP、CASB、SIEM、IAM、LLM Gateway、EDR、GRC</x:v>
      </x:c>
      <x:c r="N90" s="37" t="str">
        <x:v>員工與系統大量使用外部 AI，企業需看見、限制並證明每次使用符合政策。Demo：匯入一組去識別資料，觸發「偵測直接與間接注入並隔離惡意指令」，由系統提出證據、建議與下一步；使用者核准後回寫任務，最後呈現「保護系統指令與工具」前後差異。</x:v>
      </x:c>
      <x:c r="O90" s="37" t="str">
        <x:v>中低</x:v>
      </x:c>
      <x:c r="P90" s="37" t="str">
        <x:v>鄰近既有能力：原有資安多涵蓋 IT/OT，未必涵蓋生成式 AI 與自主 Agent 的新型風險。本 App 的獨立邊界是「偵測直接與間接注入並隔離惡意指令」，主要產出為「保護系統指令與工具」，不是一般登錄、查詢或看板。</x:v>
      </x:c>
      <x:c r="Q90" s="38" t="n">
        <x:v>5</x:v>
      </x:c>
      <x:c r="R90" s="38" t="n">
        <x:v>3</x:v>
      </x:c>
      <x:c r="S90" s="38" t="str">
        <x:v>P1</x:v>
      </x:c>
      <x:c r="T90" s="38" t="n">
        <x:v>7</x:v>
      </x:c>
      <x:c r="U90" s="39" t="str">
        <x:v>Wave 2 高價值套件</x:v>
      </x:c>
    </x:row>
    <x:row r="91" ht="86" customHeight="1">
      <x:c r="A91" s="36" t="str">
        <x:v>JV-087</x:v>
      </x:c>
      <x:c r="B91" s="37" t="str">
        <x:v>越獄攻擊偵測器</x:v>
      </x:c>
      <x:c r="C91" s="37" t="str">
        <x:v>AI Security／Governance</x:v>
      </x:c>
      <x:c r="D91" s="37" t="str">
        <x:v>Prompt 防護</x:v>
      </x:c>
      <x:c r="E91" s="37" t="str">
        <x:v>資訊安全、法遵、內控、資料治理</x:v>
      </x:c>
      <x:c r="F91" s="37" t="str">
        <x:v>CISO、AI 治理主管、資安分析師、稽核人員</x:v>
      </x:c>
      <x:c r="G91" s="37" t="str">
        <x:v>現行作法對「辨識角色扮演、編碼與多輪規避手法」多靠人工彙整、個人經驗或事後處理，難以一致追蹤，造成決策延遲與重工。</x:v>
      </x:c>
      <x:c r="H91" s="37" t="str">
        <x:v>資料／事件接入；辨識角色扮演、編碼與多輪規避手法；證據與信心呈現；例外分流與人工覆核；降低安全規則繞過成效追蹤；完整稽核軌跡</x:v>
      </x:c>
      <x:c r="I91" s="37" t="str">
        <x:v>預測與情境模擬；多目標最佳化；不確定性呈現；專門模型焦點：辨識角色扮演、編碼與多輪規避手法</x:v>
      </x:c>
      <x:c r="J91" s="37" t="str">
        <x:v>定期掃描資料與外部訊號，提出優先序與建議；經核准後同步任務與更新來源系統</x:v>
      </x:c>
      <x:c r="K91" s="37" t="str">
        <x:v>L4 有護欄自主執行</x:v>
      </x:c>
      <x:c r="L91" s="37" t="str">
        <x:v>AI 流量、敏感資料標籤、模型清單、資安事件、政策、供應商資料</x:v>
      </x:c>
      <x:c r="M91" s="37" t="str">
        <x:v>DLP、CASB、SIEM、IAM、LLM Gateway、EDR、GRC</x:v>
      </x:c>
      <x:c r="N91" s="37" t="str">
        <x:v>員工與系統大量使用外部 AI，企業需看見、限制並證明每次使用符合政策。Demo：匯入一組去識別資料，觸發「辨識角色扮演、編碼與多輪規避手法」，由系統提出證據、建議與下一步；使用者核准後回寫任務，最後呈現「降低安全規則繞過」前後差異。</x:v>
      </x:c>
      <x:c r="O91" s="37" t="str">
        <x:v>低</x:v>
      </x:c>
      <x:c r="P91" s="37" t="str">
        <x:v>鄰近既有能力：原有資安多涵蓋 IT/OT，未必涵蓋生成式 AI 與自主 Agent 的新型風險。本 App 的獨立邊界是「辨識角色扮演、編碼與多輪規避手法」，主要產出為「降低安全規則繞過」，不是一般登錄、查詢或看板。</x:v>
      </x:c>
      <x:c r="Q91" s="38" t="n">
        <x:v>5</x:v>
      </x:c>
      <x:c r="R91" s="38" t="n">
        <x:v>4</x:v>
      </x:c>
      <x:c r="S91" s="38" t="str">
        <x:v>P0</x:v>
      </x:c>
      <x:c r="T91" s="38" t="n">
        <x:v>8</x:v>
      </x:c>
      <x:c r="U91" s="39" t="str">
        <x:v>Wave 1 平台底座／旗艦</x:v>
      </x:c>
    </x:row>
    <x:row r="92" ht="86" customHeight="1">
      <x:c r="A92" s="36" t="str">
        <x:v>JV-088</x:v>
      </x:c>
      <x:c r="B92" s="37" t="str">
        <x:v>系統提示洩漏探針</x:v>
      </x:c>
      <x:c r="C92" s="37" t="str">
        <x:v>AI Security／Governance</x:v>
      </x:c>
      <x:c r="D92" s="37" t="str">
        <x:v>Prompt 防護</x:v>
      </x:c>
      <x:c r="E92" s="37" t="str">
        <x:v>資訊安全、法遵、內控、資料治理</x:v>
      </x:c>
      <x:c r="F92" s="37" t="str">
        <x:v>CISO、AI 治理主管、資安分析師、稽核人員</x:v>
      </x:c>
      <x:c r="G92" s="37" t="str">
        <x:v>現行作法對「主動測試應用是否暴露內部提示與機密」多靠人工彙整、個人經驗或事後處理，難以一致追蹤，造成決策延遲與重工。</x:v>
      </x:c>
      <x:c r="H92" s="37" t="str">
        <x:v>資料／事件接入；主動測試應用是否暴露內部提示與機密；證據與信心呈現；例外分流與人工覆核；在上線前修補成效追蹤；完整稽核軌跡</x:v>
      </x:c>
      <x:c r="I92" s="37" t="str">
        <x:v>跨文件／跨系統比對；圖譜推理；差異與缺口生成；專門模型焦點：主動測試應用是否暴露內部提示與機密</x:v>
      </x:c>
      <x:c r="J92" s="37" t="str">
        <x:v>以人機協作模式先產生草案與證據包，接受修改後執行核准步驟並建立完整稽核軌跡</x:v>
      </x:c>
      <x:c r="K92" s="37" t="str">
        <x:v>L4 有護欄自主執行</x:v>
      </x:c>
      <x:c r="L92" s="37" t="str">
        <x:v>AI 流量、敏感資料標籤、模型清單、資安事件、政策、供應商資料</x:v>
      </x:c>
      <x:c r="M92" s="37" t="str">
        <x:v>DLP、CASB、SIEM、IAM、LLM Gateway、EDR、GRC</x:v>
      </x:c>
      <x:c r="N92" s="37" t="str">
        <x:v>員工與系統大量使用外部 AI，企業需看見、限制並證明每次使用符合政策。Demo：匯入一組去識別資料，觸發「主動測試應用是否暴露內部提示與機密」，由系統提出證據、建議與下一步；使用者核准後回寫任務，最後呈現「在上線前修補」前後差異。</x:v>
      </x:c>
      <x:c r="O92" s="37" t="str">
        <x:v>低</x:v>
      </x:c>
      <x:c r="P92" s="37" t="str">
        <x:v>鄰近既有能力：原有資安多涵蓋 IT/OT，未必涵蓋生成式 AI 與自主 Agent 的新型風險。本 App 的獨立邊界是「主動測試應用是否暴露內部提示與機密」，主要產出為「在上線前修補」，不是一般登錄、查詢或看板。</x:v>
      </x:c>
      <x:c r="Q92" s="38" t="n">
        <x:v>5</x:v>
      </x:c>
      <x:c r="R92" s="38" t="n">
        <x:v>4</x:v>
      </x:c>
      <x:c r="S92" s="38" t="str">
        <x:v>P0</x:v>
      </x:c>
      <x:c r="T92" s="38" t="n">
        <x:v>8</x:v>
      </x:c>
      <x:c r="U92" s="39" t="str">
        <x:v>Wave 1 平台底座／旗艦</x:v>
      </x:c>
    </x:row>
    <x:row r="93" ht="86" customHeight="1">
      <x:c r="A93" s="36" t="str">
        <x:v>JV-089</x:v>
      </x:c>
      <x:c r="B93" s="37" t="str">
        <x:v>工具操控防護閘</x:v>
      </x:c>
      <x:c r="C93" s="37" t="str">
        <x:v>AI Security／Governance</x:v>
      </x:c>
      <x:c r="D93" s="37" t="str">
        <x:v>Prompt 防護</x:v>
      </x:c>
      <x:c r="E93" s="37" t="str">
        <x:v>資訊安全、法遵、內控、資料治理</x:v>
      </x:c>
      <x:c r="F93" s="37" t="str">
        <x:v>CISO、AI 治理主管、資安分析師、稽核人員</x:v>
      </x:c>
      <x:c r="G93" s="37" t="str">
        <x:v>現行作法對「驗證模型產生的工具參數與業務限制」多靠人工彙整、個人經驗或事後處理，難以一致追蹤，造成決策延遲與重工。</x:v>
      </x:c>
      <x:c r="H93" s="37" t="str">
        <x:v>資料／事件接入；驗證模型產生的工具參數與業務限制；證據與信心呈現；例外分流與人工覆核；避免危險動作成效追蹤；完整稽核軌跡</x:v>
      </x:c>
      <x:c r="I93" s="37" t="str">
        <x:v>異常偵測；因果線索分析；可解釋的建議排序；專門模型焦點：驗證模型產生的工具參數與業務限制</x:v>
      </x:c>
      <x:c r="J93" s="37" t="str">
        <x:v>依目標自主規劃步驟、呼叫核准工具、遇到例外改走人工佇列，完成後驗證結果並回報</x:v>
      </x:c>
      <x:c r="K93" s="37" t="str">
        <x:v>L3 可執行／關鍵核准</x:v>
      </x:c>
      <x:c r="L93" s="37" t="str">
        <x:v>AI 流量、敏感資料標籤、模型清單、資安事件、政策、供應商資料</x:v>
      </x:c>
      <x:c r="M93" s="37" t="str">
        <x:v>DLP、CASB、SIEM、IAM、LLM Gateway、EDR、GRC</x:v>
      </x:c>
      <x:c r="N93" s="37" t="str">
        <x:v>員工與系統大量使用外部 AI，企業需看見、限制並證明每次使用符合政策。Demo：匯入一組去識別資料，觸發「驗證模型產生的工具參數與業務限制」，由系統提出證據、建議與下一步；使用者核准後回寫任務，最後呈現「避免危險動作」前後差異。</x:v>
      </x:c>
      <x:c r="O93" s="37" t="str">
        <x:v>低</x:v>
      </x:c>
      <x:c r="P93" s="37" t="str">
        <x:v>鄰近既有能力：原有資安多涵蓋 IT/OT，未必涵蓋生成式 AI 與自主 Agent 的新型風險。本 App 的獨立邊界是「驗證模型產生的工具參數與業務限制」，主要產出為「避免危險動作」，不是一般登錄、查詢或看板。</x:v>
      </x:c>
      <x:c r="Q93" s="38" t="n">
        <x:v>5</x:v>
      </x:c>
      <x:c r="R93" s="38" t="n">
        <x:v>4</x:v>
      </x:c>
      <x:c r="S93" s="38" t="str">
        <x:v>P1</x:v>
      </x:c>
      <x:c r="T93" s="38" t="n">
        <x:v>9</x:v>
      </x:c>
      <x:c r="U93" s="39" t="str">
        <x:v>Wave 2 高價值套件</x:v>
      </x:c>
    </x:row>
    <x:row r="94" ht="86" customHeight="1">
      <x:c r="A94" s="36" t="str">
        <x:v>JV-090</x:v>
      </x:c>
      <x:c r="B94" s="37" t="str">
        <x:v>不可信內容沙箱</x:v>
      </x:c>
      <x:c r="C94" s="37" t="str">
        <x:v>AI Security／Governance</x:v>
      </x:c>
      <x:c r="D94" s="37" t="str">
        <x:v>Prompt 防護</x:v>
      </x:c>
      <x:c r="E94" s="37" t="str">
        <x:v>資訊安全、法遵、內控、資料治理</x:v>
      </x:c>
      <x:c r="F94" s="37" t="str">
        <x:v>CISO、AI 治理主管、資安分析師、稽核人員</x:v>
      </x:c>
      <x:c r="G94" s="37" t="str">
        <x:v>現行作法對「將郵件、網頁與文件內容降權並限制指令效果」多靠人工彙整、個人經驗或事後處理，難以一致追蹤，造成決策延遲與重工。</x:v>
      </x:c>
      <x:c r="H94" s="37" t="str">
        <x:v>資料／事件接入；將郵件、網頁與文件內容降權並限制指令效果；證據與信心呈現；例外分流與人工覆核；抑制間接攻擊成效追蹤；完整稽核軌跡</x:v>
      </x:c>
      <x:c r="I94" s="37" t="str">
        <x:v>RAG 檢索與來源引用；規則＋模型混合判斷；矛盾檢查；專門模型焦點：將郵件、網頁與文件內容降權並限制指令效果</x:v>
      </x:c>
      <x:c r="J94" s="37" t="str">
        <x:v>與多個專業 Agent 協作拆解任務，保留交接證據、逾時升級並在失敗時安全回滾</x:v>
      </x:c>
      <x:c r="K94" s="37" t="str">
        <x:v>L2 建議／需核准</x:v>
      </x:c>
      <x:c r="L94" s="37" t="str">
        <x:v>AI 流量、敏感資料標籤、模型清單、資安事件、政策、供應商資料</x:v>
      </x:c>
      <x:c r="M94" s="37" t="str">
        <x:v>DLP、CASB、SIEM、IAM、LLM Gateway、EDR、GRC</x:v>
      </x:c>
      <x:c r="N94" s="37" t="str">
        <x:v>員工與系統大量使用外部 AI，企業需看見、限制並證明每次使用符合政策。Demo：匯入一組去識別資料，觸發「將郵件、網頁與文件內容降權並限制指令效果」，由系統提出證據、建議與下一步；使用者核准後回寫任務，最後呈現「抑制間接攻擊」前後差異。</x:v>
      </x:c>
      <x:c r="O94" s="37" t="str">
        <x:v>中低</x:v>
      </x:c>
      <x:c r="P94" s="37" t="str">
        <x:v>鄰近既有能力：原有資安多涵蓋 IT/OT，未必涵蓋生成式 AI 與自主 Agent 的新型風險。本 App 的獨立邊界是「將郵件、網頁與文件內容降權並限制指令效果」，主要產出為「抑制間接攻擊」，不是一般登錄、查詢或看板。</x:v>
      </x:c>
      <x:c r="Q94" s="38" t="n">
        <x:v>4</x:v>
      </x:c>
      <x:c r="R94" s="38" t="n">
        <x:v>5</x:v>
      </x:c>
      <x:c r="S94" s="38" t="str">
        <x:v>P0</x:v>
      </x:c>
      <x:c r="T94" s="38" t="n">
        <x:v>10</x:v>
      </x:c>
      <x:c r="U94" s="39" t="str">
        <x:v>Wave 1 平台底座／旗艦</x:v>
      </x:c>
    </x:row>
    <x:row r="95" ht="86" customHeight="1">
      <x:c r="A95" s="36" t="str">
        <x:v>JV-091</x:v>
      </x:c>
      <x:c r="B95" s="37" t="str">
        <x:v>LLM 語意匿名化閘道</x:v>
      </x:c>
      <x:c r="C95" s="37" t="str">
        <x:v>AI Security／Governance</x:v>
      </x:c>
      <x:c r="D95" s="37" t="str">
        <x:v>AI DLP</x:v>
      </x:c>
      <x:c r="E95" s="37" t="str">
        <x:v>資訊安全、法遵、內控、資料治理</x:v>
      </x:c>
      <x:c r="F95" s="37" t="str">
        <x:v>CISO、AI 治理主管、資安分析師、稽核人員</x:v>
      </x:c>
      <x:c r="G95" s="37" t="str">
        <x:v>現行作法對「辨識人名、公司、料號與商業語意後代換再還原」多靠人工彙整、個人經驗或事後處理，難以一致追蹤，造成決策延遲與重工。</x:v>
      </x:c>
      <x:c r="H95" s="37" t="str">
        <x:v>資料／事件接入；辨識人名、公司、料號與商業語意後代換再還原；證據與信心呈現；例外分流與人工覆核；安全使用外部模型成效追蹤；完整稽核軌跡</x:v>
      </x:c>
      <x:c r="I95" s="37" t="str">
        <x:v>語意分類與實體抽取；風險／信心評分；具證據的生成與摘要；專門模型焦點：辨識人名、公司、料號與商業語意後代換再還原</x:v>
      </x:c>
      <x:c r="J95" s="37" t="str">
        <x:v>持續監測事件，達門檻後建立案件、蒐集證據、指派責任並追蹤結案；高風險動作需人工核准</x:v>
      </x:c>
      <x:c r="K95" s="37" t="str">
        <x:v>L3 可執行／關鍵核准</x:v>
      </x:c>
      <x:c r="L95" s="37" t="str">
        <x:v>AI 流量、敏感資料標籤、模型清單、資安事件、政策、供應商資料</x:v>
      </x:c>
      <x:c r="M95" s="37" t="str">
        <x:v>DLP、CASB、SIEM、IAM、LLM Gateway、EDR、GRC</x:v>
      </x:c>
      <x:c r="N95" s="37" t="str">
        <x:v>員工與系統大量使用外部 AI，企業需看見、限制並證明每次使用符合政策。Demo：匯入一組去識別資料，觸發「辨識人名、公司、料號與商業語意後代換再還原」，由系統提出證據、建議與下一步；使用者核准後回寫任務，最後呈現「安全使用外部模型」前後差異。</x:v>
      </x:c>
      <x:c r="O95" s="37" t="str">
        <x:v>中低</x:v>
      </x:c>
      <x:c r="P95" s="37" t="str">
        <x:v>鄰近既有能力：原有資安多涵蓋 IT/OT，未必涵蓋生成式 AI 與自主 Agent 的新型風險。本 App 的獨立邊界是「辨識人名、公司、料號與商業語意後代換再還原」，主要產出為「安全使用外部模型」，不是一般登錄、查詢或看板。</x:v>
      </x:c>
      <x:c r="Q95" s="38" t="n">
        <x:v>5</x:v>
      </x:c>
      <x:c r="R95" s="38" t="n">
        <x:v>3</x:v>
      </x:c>
      <x:c r="S95" s="38" t="str">
        <x:v>P0</x:v>
      </x:c>
      <x:c r="T95" s="38" t="n">
        <x:v>6</x:v>
      </x:c>
      <x:c r="U95" s="39" t="str">
        <x:v>Wave 1 平台底座／旗艦</x:v>
      </x:c>
    </x:row>
    <x:row r="96" ht="86" customHeight="1">
      <x:c r="A96" s="36" t="str">
        <x:v>JV-092</x:v>
      </x:c>
      <x:c r="B96" s="37" t="str">
        <x:v>AI 敏感資料外送攔截器</x:v>
      </x:c>
      <x:c r="C96" s="37" t="str">
        <x:v>AI Security／Governance</x:v>
      </x:c>
      <x:c r="D96" s="37" t="str">
        <x:v>AI DLP</x:v>
      </x:c>
      <x:c r="E96" s="37" t="str">
        <x:v>資訊安全、法遵、內控、資料治理</x:v>
      </x:c>
      <x:c r="F96" s="37" t="str">
        <x:v>CISO、AI 治理主管、資安分析師、稽核人員</x:v>
      </x:c>
      <x:c r="G96" s="37" t="str">
        <x:v>現行作法對「在送出前依政策阻擋、遮罩或要求核准」多靠人工彙整、個人經驗或事後處理，難以一致追蹤，造成決策延遲與重工。</x:v>
      </x:c>
      <x:c r="H96" s="37" t="str">
        <x:v>資料／事件接入；在送出前依政策阻擋、遮罩或要求核准；證據與信心呈現；例外分流與人工覆核；降低資料外洩成效追蹤；完整稽核軌跡</x:v>
      </x:c>
      <x:c r="I96" s="37" t="str">
        <x:v>預測與情境模擬；多目標最佳化；不確定性呈現；專門模型焦點：在送出前依政策阻擋、遮罩或要求核准</x:v>
      </x:c>
      <x:c r="J96" s="37" t="str">
        <x:v>定期掃描資料與外部訊號，提出優先序與建議；經核准後同步任務與更新來源系統</x:v>
      </x:c>
      <x:c r="K96" s="37" t="str">
        <x:v>L4 有護欄自主執行</x:v>
      </x:c>
      <x:c r="L96" s="37" t="str">
        <x:v>AI 流量、敏感資料標籤、模型清單、資安事件、政策、供應商資料</x:v>
      </x:c>
      <x:c r="M96" s="37" t="str">
        <x:v>DLP、CASB、SIEM、IAM、LLM Gateway、EDR、GRC</x:v>
      </x:c>
      <x:c r="N96" s="37" t="str">
        <x:v>員工與系統大量使用外部 AI，企業需看見、限制並證明每次使用符合政策。Demo：匯入一組去識別資料，觸發「在送出前依政策阻擋、遮罩或要求核准」，由系統提出證據、建議與下一步；使用者核准後回寫任務，最後呈現「降低資料外洩」前後差異。</x:v>
      </x:c>
      <x:c r="O96" s="37" t="str">
        <x:v>低</x:v>
      </x:c>
      <x:c r="P96" s="37" t="str">
        <x:v>鄰近既有能力：原有資安多涵蓋 IT/OT，未必涵蓋生成式 AI 與自主 Agent 的新型風險。本 App 的獨立邊界是「在送出前依政策阻擋、遮罩或要求核准」，主要產出為「降低資料外洩」，不是一般登錄、查詢或看板。</x:v>
      </x:c>
      <x:c r="Q96" s="38" t="n">
        <x:v>5</x:v>
      </x:c>
      <x:c r="R96" s="38" t="n">
        <x:v>4</x:v>
      </x:c>
      <x:c r="S96" s="38" t="str">
        <x:v>P0</x:v>
      </x:c>
      <x:c r="T96" s="38" t="n">
        <x:v>8</x:v>
      </x:c>
      <x:c r="U96" s="39" t="str">
        <x:v>Wave 1 平台底座／旗艦</x:v>
      </x:c>
    </x:row>
    <x:row r="97" ht="86" customHeight="1">
      <x:c r="A97" s="36" t="str">
        <x:v>JV-093</x:v>
      </x:c>
      <x:c r="B97" s="37" t="str">
        <x:v>AI 回應機密洩漏掃描器</x:v>
      </x:c>
      <x:c r="C97" s="37" t="str">
        <x:v>AI Security／Governance</x:v>
      </x:c>
      <x:c r="D97" s="37" t="str">
        <x:v>AI DLP</x:v>
      </x:c>
      <x:c r="E97" s="37" t="str">
        <x:v>資訊安全、法遵、內控、資料治理</x:v>
      </x:c>
      <x:c r="F97" s="37" t="str">
        <x:v>CISO、AI 治理主管、資安分析師、稽核人員</x:v>
      </x:c>
      <x:c r="G97" s="37" t="str">
        <x:v>現行作法對「檢查輸出是否包含金鑰、個資或內部片段」多靠人工彙整、個人經驗或事後處理，難以一致追蹤，造成決策延遲與重工。</x:v>
      </x:c>
      <x:c r="H97" s="37" t="str">
        <x:v>資料／事件接入；檢查輸出是否包含金鑰、個資或內部片段；證據與信心呈現；例外分流與人工覆核；阻止洩漏到使用者成效追蹤；完整稽核軌跡</x:v>
      </x:c>
      <x:c r="I97" s="37" t="str">
        <x:v>跨文件／跨系統比對；圖譜推理；差異與缺口生成；專門模型焦點：檢查輸出是否包含金鑰、個資或內部片段</x:v>
      </x:c>
      <x:c r="J97" s="37" t="str">
        <x:v>以人機協作模式先產生草案與證據包，接受修改後執行核准步驟並建立完整稽核軌跡</x:v>
      </x:c>
      <x:c r="K97" s="37" t="str">
        <x:v>L4 有護欄自主執行</x:v>
      </x:c>
      <x:c r="L97" s="37" t="str">
        <x:v>AI 流量、敏感資料標籤、模型清單、資安事件、政策、供應商資料</x:v>
      </x:c>
      <x:c r="M97" s="37" t="str">
        <x:v>DLP、CASB、SIEM、IAM、LLM Gateway、EDR、GRC</x:v>
      </x:c>
      <x:c r="N97" s="37" t="str">
        <x:v>員工與系統大量使用外部 AI，企業需看見、限制並證明每次使用符合政策。Demo：匯入一組去識別資料，觸發「檢查輸出是否包含金鑰、個資或內部片段」，由系統提出證據、建議與下一步；使用者核准後回寫任務，最後呈現「阻止洩漏到使用者」前後差異。</x:v>
      </x:c>
      <x:c r="O97" s="37" t="str">
        <x:v>低</x:v>
      </x:c>
      <x:c r="P97" s="37" t="str">
        <x:v>鄰近既有能力：原有資安多涵蓋 IT/OT，未必涵蓋生成式 AI 與自主 Agent 的新型風險。本 App 的獨立邊界是「檢查輸出是否包含金鑰、個資或內部片段」，主要產出為「阻止洩漏到使用者」，不是一般登錄、查詢或看板。</x:v>
      </x:c>
      <x:c r="Q97" s="38" t="n">
        <x:v>5</x:v>
      </x:c>
      <x:c r="R97" s="38" t="n">
        <x:v>4</x:v>
      </x:c>
      <x:c r="S97" s="38" t="str">
        <x:v>P0</x:v>
      </x:c>
      <x:c r="T97" s="38" t="n">
        <x:v>8</x:v>
      </x:c>
      <x:c r="U97" s="39" t="str">
        <x:v>Wave 1 平台底座／旗艦</x:v>
      </x:c>
    </x:row>
    <x:row r="98" ht="86" customHeight="1">
      <x:c r="A98" s="36" t="str">
        <x:v>JV-094</x:v>
      </x:c>
      <x:c r="B98" s="37" t="str">
        <x:v>跨對話資料混淆偵測器</x:v>
      </x:c>
      <x:c r="C98" s="37" t="str">
        <x:v>AI Security／Governance</x:v>
      </x:c>
      <x:c r="D98" s="37" t="str">
        <x:v>AI DLP</x:v>
      </x:c>
      <x:c r="E98" s="37" t="str">
        <x:v>資訊安全、法遵、內控、資料治理</x:v>
      </x:c>
      <x:c r="F98" s="37" t="str">
        <x:v>CISO、AI 治理主管、資安分析師、稽核人員</x:v>
      </x:c>
      <x:c r="G98" s="37" t="str">
        <x:v>現行作法對「發現不同客戶或租戶資料出現在同一回應」多靠人工彙整、個人經驗或事後處理，難以一致追蹤，造成決策延遲與重工。</x:v>
      </x:c>
      <x:c r="H98" s="37" t="str">
        <x:v>資料／事件接入；發現不同客戶或租戶資料出現在同一回應；證據與信心呈現；例外分流與人工覆核；避免隔離失效成效追蹤；完整稽核軌跡</x:v>
      </x:c>
      <x:c r="I98" s="37" t="str">
        <x:v>異常偵測；因果線索分析；可解釋的建議排序；專門模型焦點：發現不同客戶或租戶資料出現在同一回應</x:v>
      </x:c>
      <x:c r="J98" s="37" t="str">
        <x:v>依目標自主規劃步驟、呼叫核准工具、遇到例外改走人工佇列，完成後驗證結果並回報</x:v>
      </x:c>
      <x:c r="K98" s="37" t="str">
        <x:v>L4 有護欄自主執行</x:v>
      </x:c>
      <x:c r="L98" s="37" t="str">
        <x:v>AI 流量、敏感資料標籤、模型清單、資安事件、政策、供應商資料</x:v>
      </x:c>
      <x:c r="M98" s="37" t="str">
        <x:v>DLP、CASB、SIEM、IAM、LLM Gateway、EDR、GRC</x:v>
      </x:c>
      <x:c r="N98" s="37" t="str">
        <x:v>員工與系統大量使用外部 AI，企業需看見、限制並證明每次使用符合政策。Demo：匯入一組去識別資料，觸發「發現不同客戶或租戶資料出現在同一回應」，由系統提出證據、建議與下一步；使用者核准後回寫任務，最後呈現「避免隔離失效」前後差異。</x:v>
      </x:c>
      <x:c r="O98" s="37" t="str">
        <x:v>低</x:v>
      </x:c>
      <x:c r="P98" s="37" t="str">
        <x:v>鄰近既有能力：原有資安多涵蓋 IT/OT，未必涵蓋生成式 AI 與自主 Agent 的新型風險。本 App 的獨立邊界是「發現不同客戶或租戶資料出現在同一回應」，主要產出為「避免隔離失效」，不是一般登錄、查詢或看板。</x:v>
      </x:c>
      <x:c r="Q98" s="38" t="n">
        <x:v>5</x:v>
      </x:c>
      <x:c r="R98" s="38" t="n">
        <x:v>4</x:v>
      </x:c>
      <x:c r="S98" s="38" t="str">
        <x:v>P0</x:v>
      </x:c>
      <x:c r="T98" s="38" t="n">
        <x:v>8</x:v>
      </x:c>
      <x:c r="U98" s="39" t="str">
        <x:v>Wave 1 平台底座／旗艦</x:v>
      </x:c>
    </x:row>
    <x:row r="99" ht="86" customHeight="1">
      <x:c r="A99" s="36" t="str">
        <x:v>JV-095</x:v>
      </x:c>
      <x:c r="B99" s="37" t="str">
        <x:v>AI 資料最小化建議器</x:v>
      </x:c>
      <x:c r="C99" s="37" t="str">
        <x:v>AI Security／Governance</x:v>
      </x:c>
      <x:c r="D99" s="37" t="str">
        <x:v>AI DLP</x:v>
      </x:c>
      <x:c r="E99" s="37" t="str">
        <x:v>資訊安全、法遵、內控、資料治理</x:v>
      </x:c>
      <x:c r="F99" s="37" t="str">
        <x:v>CISO、AI 治理主管、資安分析師、稽核人員</x:v>
      </x:c>
      <x:c r="G99" s="37" t="str">
        <x:v>現行作法對「提出完成任務所需最少欄位與精度」多靠人工彙整、個人經驗或事後處理，難以一致追蹤，造成決策延遲與重工。</x:v>
      </x:c>
      <x:c r="H99" s="37" t="str">
        <x:v>資料／事件接入；提出完成任務所需最少欄位與精度；證據與信心呈現；例外分流與人工覆核；減少不必要揭露成效追蹤；完整稽核軌跡</x:v>
      </x:c>
      <x:c r="I99" s="37" t="str">
        <x:v>RAG 檢索與來源引用；規則＋模型混合判斷；矛盾檢查；專門模型焦點：提出完成任務所需最少欄位與精度</x:v>
      </x:c>
      <x:c r="J99" s="37" t="str">
        <x:v>與多個專業 Agent 協作拆解任務，保留交接證據、逾時升級並在失敗時安全回滾</x:v>
      </x:c>
      <x:c r="K99" s="37" t="str">
        <x:v>L2 建議／需核准</x:v>
      </x:c>
      <x:c r="L99" s="37" t="str">
        <x:v>AI 流量、敏感資料標籤、模型清單、資安事件、政策、供應商資料</x:v>
      </x:c>
      <x:c r="M99" s="37" t="str">
        <x:v>DLP、CASB、SIEM、IAM、LLM Gateway、EDR、GRC</x:v>
      </x:c>
      <x:c r="N99" s="37" t="str">
        <x:v>員工與系統大量使用外部 AI，企業需看見、限制並證明每次使用符合政策。Demo：匯入一組去識別資料，觸發「提出完成任務所需最少欄位與精度」，由系統提出證據、建議與下一步；使用者核准後回寫任務，最後呈現「減少不必要揭露」前後差異。</x:v>
      </x:c>
      <x:c r="O99" s="37" t="str">
        <x:v>中低</x:v>
      </x:c>
      <x:c r="P99" s="37" t="str">
        <x:v>鄰近既有能力：原有資安多涵蓋 IT/OT，未必涵蓋生成式 AI 與自主 Agent 的新型風險。本 App 的獨立邊界是「提出完成任務所需最少欄位與精度」，主要產出為「減少不必要揭露」，不是一般登錄、查詢或看板。</x:v>
      </x:c>
      <x:c r="Q99" s="38" t="n">
        <x:v>5</x:v>
      </x:c>
      <x:c r="R99" s="38" t="n">
        <x:v>5</x:v>
      </x:c>
      <x:c r="S99" s="38" t="str">
        <x:v>P0</x:v>
      </x:c>
      <x:c r="T99" s="38" t="n">
        <x:v>10</x:v>
      </x:c>
      <x:c r="U99" s="39" t="str">
        <x:v>Wave 1 平台底座／旗艦</x:v>
      </x:c>
    </x:row>
    <x:row r="100" ht="86" customHeight="1">
      <x:c r="A100" s="36" t="str">
        <x:v>JV-096</x:v>
      </x:c>
      <x:c r="B100" s="37" t="str">
        <x:v>AI 模型供應鏈清冊</x:v>
      </x:c>
      <x:c r="C100" s="37" t="str">
        <x:v>AI Security／Governance</x:v>
      </x:c>
      <x:c r="D100" s="37" t="str">
        <x:v>供應鏈安全</x:v>
      </x:c>
      <x:c r="E100" s="37" t="str">
        <x:v>資訊安全、法遵、內控、資料治理</x:v>
      </x:c>
      <x:c r="F100" s="37" t="str">
        <x:v>CISO、AI 治理主管、資安分析師、稽核人員</x:v>
      </x:c>
      <x:c r="G100" s="37" t="str">
        <x:v>現行作法對「追蹤模型、權重、資料集、套件與部署來源」多靠人工彙整、個人經驗或事後處理，難以一致追蹤，造成決策延遲與重工。</x:v>
      </x:c>
      <x:c r="H100" s="37" t="str">
        <x:v>資料／事件接入；追蹤模型、權重、資料集、套件與部署來源；證據與信心呈現；例外分流與人工覆核；建立 AI SBOM成效追蹤；完整稽核軌跡</x:v>
      </x:c>
      <x:c r="I100" s="37" t="str">
        <x:v>語意分類與實體抽取；風險／信心評分；具證據的生成與摘要；專門模型焦點：追蹤模型、權重、資料集、套件與部署來源</x:v>
      </x:c>
      <x:c r="J100" s="37" t="str">
        <x:v>持續監測事件，達門檻後建立案件、蒐集證據、指派責任並追蹤結案；高風險動作需人工核准</x:v>
      </x:c>
      <x:c r="K100" s="37" t="str">
        <x:v>L3 可執行／關鍵核准</x:v>
      </x:c>
      <x:c r="L100" s="37" t="str">
        <x:v>AI 流量、敏感資料標籤、模型清單、資安事件、政策、供應商資料</x:v>
      </x:c>
      <x:c r="M100" s="37" t="str">
        <x:v>DLP、CASB、SIEM、IAM、LLM Gateway、EDR、GRC</x:v>
      </x:c>
      <x:c r="N100" s="37" t="str">
        <x:v>員工與系統大量使用外部 AI，企業需看見、限制並證明每次使用符合政策。Demo：匯入一組去識別資料，觸發「追蹤模型、權重、資料集、套件與部署來源」，由系統提出證據、建議與下一步；使用者核准後回寫任務，最後呈現「建立 AI SBOM」前後差異。</x:v>
      </x:c>
      <x:c r="O100" s="37" t="str">
        <x:v>中低</x:v>
      </x:c>
      <x:c r="P100" s="37" t="str">
        <x:v>鄰近既有能力：原有資安多涵蓋 IT/OT，未必涵蓋生成式 AI 與自主 Agent 的新型風險。本 App 的獨立邊界是「追蹤模型、權重、資料集、套件與部署來源」，主要產出為「建立 AI SBOM」，不是一般登錄、查詢或看板。</x:v>
      </x:c>
      <x:c r="Q100" s="38" t="n">
        <x:v>5</x:v>
      </x:c>
      <x:c r="R100" s="38" t="n">
        <x:v>3</x:v>
      </x:c>
      <x:c r="S100" s="38" t="str">
        <x:v>P0</x:v>
      </x:c>
      <x:c r="T100" s="38" t="n">
        <x:v>6</x:v>
      </x:c>
      <x:c r="U100" s="39" t="str">
        <x:v>Wave 1 平台底座／旗艦</x:v>
      </x:c>
    </x:row>
    <x:row r="101" ht="86" customHeight="1">
      <x:c r="A101" s="36" t="str">
        <x:v>JV-097</x:v>
      </x:c>
      <x:c r="B101" s="37" t="str">
        <x:v>模型檔案完整性驗證器</x:v>
      </x:c>
      <x:c r="C101" s="37" t="str">
        <x:v>AI Security／Governance</x:v>
      </x:c>
      <x:c r="D101" s="37" t="str">
        <x:v>供應鏈安全</x:v>
      </x:c>
      <x:c r="E101" s="37" t="str">
        <x:v>資訊安全、法遵、內控、資料治理</x:v>
      </x:c>
      <x:c r="F101" s="37" t="str">
        <x:v>CISO、AI 治理主管、資安分析師、稽核人員</x:v>
      </x:c>
      <x:c r="G101" s="37" t="str">
        <x:v>現行作法對「驗證雜湊、簽章與來源鏈」多靠人工彙整、個人經驗或事後處理，難以一致追蹤，造成決策延遲與重工。</x:v>
      </x:c>
      <x:c r="H101" s="37" t="str">
        <x:v>資料／事件接入；驗證雜湊、簽章與來源鏈；證據與信心呈現；例外分流與人工覆核；防止權重遭竄改成效追蹤；完整稽核軌跡</x:v>
      </x:c>
      <x:c r="I101" s="37" t="str">
        <x:v>預測與情境模擬；多目標最佳化；不確定性呈現；專門模型焦點：驗證雜湊、簽章與來源鏈</x:v>
      </x:c>
      <x:c r="J101" s="37" t="str">
        <x:v>定期掃描資料與外部訊號，提出優先序與建議；經核准後同步任務與更新來源系統</x:v>
      </x:c>
      <x:c r="K101" s="37" t="str">
        <x:v>L3 可執行／關鍵核准</x:v>
      </x:c>
      <x:c r="L101" s="37" t="str">
        <x:v>AI 流量、敏感資料標籤、模型清單、資安事件、政策、供應商資料</x:v>
      </x:c>
      <x:c r="M101" s="37" t="str">
        <x:v>DLP、CASB、SIEM、IAM、LLM Gateway、EDR、GRC</x:v>
      </x:c>
      <x:c r="N101" s="37" t="str">
        <x:v>員工與系統大量使用外部 AI，企業需看見、限制並證明每次使用符合政策。Demo：匯入一組去識別資料，觸發「驗證雜湊、簽章與來源鏈」，由系統提出證據、建議與下一步；使用者核准後回寫任務，最後呈現「防止權重遭竄改」前後差異。</x:v>
      </x:c>
      <x:c r="O101" s="37" t="str">
        <x:v>低</x:v>
      </x:c>
      <x:c r="P101" s="37" t="str">
        <x:v>鄰近既有能力：原有資安多涵蓋 IT/OT，未必涵蓋生成式 AI 與自主 Agent 的新型風險。本 App 的獨立邊界是「驗證雜湊、簽章與來源鏈」，主要產出為「防止權重遭竄改」，不是一般登錄、查詢或看板。</x:v>
      </x:c>
      <x:c r="Q101" s="38" t="n">
        <x:v>5</x:v>
      </x:c>
      <x:c r="R101" s="38" t="n">
        <x:v>4</x:v>
      </x:c>
      <x:c r="S101" s="38" t="str">
        <x:v>P1</x:v>
      </x:c>
      <x:c r="T101" s="38" t="n">
        <x:v>9</x:v>
      </x:c>
      <x:c r="U101" s="39" t="str">
        <x:v>Wave 2 高價值套件</x:v>
      </x:c>
    </x:row>
    <x:row r="102" ht="86" customHeight="1">
      <x:c r="A102" s="36" t="str">
        <x:v>JV-098</x:v>
      </x:c>
      <x:c r="B102" s="37" t="str">
        <x:v>AI 套件風險雷達</x:v>
      </x:c>
      <x:c r="C102" s="37" t="str">
        <x:v>AI Security／Governance</x:v>
      </x:c>
      <x:c r="D102" s="37" t="str">
        <x:v>供應鏈安全</x:v>
      </x:c>
      <x:c r="E102" s="37" t="str">
        <x:v>資訊安全、法遵、內控、資料治理</x:v>
      </x:c>
      <x:c r="F102" s="37" t="str">
        <x:v>CISO、AI 治理主管、資安分析師、稽核人員</x:v>
      </x:c>
      <x:c r="G102" s="37" t="str">
        <x:v>現行作法對「監測推論框架、插件與 Agent 工具弱點」多靠人工彙整、個人經驗或事後處理，難以一致追蹤，造成決策延遲與重工。</x:v>
      </x:c>
      <x:c r="H102" s="37" t="str">
        <x:v>資料／事件接入；監測推論框架、插件與 Agent 工具弱點；證據與信心呈現；例外分流與人工覆核；加速修補成效追蹤；完整稽核軌跡</x:v>
      </x:c>
      <x:c r="I102" s="37" t="str">
        <x:v>跨文件／跨系統比對；圖譜推理；差異與缺口生成；專門模型焦點：監測推論框架、插件與 Agent 工具弱點</x:v>
      </x:c>
      <x:c r="J102" s="37" t="str">
        <x:v>以人機協作模式先產生草案與證據包，接受修改後執行核准步驟並建立完整稽核軌跡</x:v>
      </x:c>
      <x:c r="K102" s="37" t="str">
        <x:v>L4 有護欄自主執行</x:v>
      </x:c>
      <x:c r="L102" s="37" t="str">
        <x:v>AI 流量、敏感資料標籤、模型清單、資安事件、政策、供應商資料</x:v>
      </x:c>
      <x:c r="M102" s="37" t="str">
        <x:v>DLP、CASB、SIEM、IAM、LLM Gateway、EDR、GRC</x:v>
      </x:c>
      <x:c r="N102" s="37" t="str">
        <x:v>員工與系統大量使用外部 AI，企業需看見、限制並證明每次使用符合政策。Demo：匯入一組去識別資料，觸發「監測推論框架、插件與 Agent 工具弱點」，由系統提出證據、建議與下一步；使用者核准後回寫任務，最後呈現「加速修補」前後差異。</x:v>
      </x:c>
      <x:c r="O102" s="37" t="str">
        <x:v>低</x:v>
      </x:c>
      <x:c r="P102" s="37" t="str">
        <x:v>鄰近既有能力：原有資安多涵蓋 IT/OT，未必涵蓋生成式 AI 與自主 Agent 的新型風險。本 App 的獨立邊界是「監測推論框架、插件與 Agent 工具弱點」，主要產出為「加速修補」，不是一般登錄、查詢或看板。</x:v>
      </x:c>
      <x:c r="Q102" s="38" t="n">
        <x:v>5</x:v>
      </x:c>
      <x:c r="R102" s="38" t="n">
        <x:v>4</x:v>
      </x:c>
      <x:c r="S102" s="38" t="str">
        <x:v>P0</x:v>
      </x:c>
      <x:c r="T102" s="38" t="n">
        <x:v>8</x:v>
      </x:c>
      <x:c r="U102" s="39" t="str">
        <x:v>Wave 1 平台底座／旗艦</x:v>
      </x:c>
    </x:row>
    <x:row r="103" ht="86" customHeight="1">
      <x:c r="A103" s="36" t="str">
        <x:v>JV-099</x:v>
      </x:c>
      <x:c r="B103" s="37" t="str">
        <x:v>模型供應商事件監測器</x:v>
      </x:c>
      <x:c r="C103" s="37" t="str">
        <x:v>AI Security／Governance</x:v>
      </x:c>
      <x:c r="D103" s="37" t="str">
        <x:v>供應鏈安全</x:v>
      </x:c>
      <x:c r="E103" s="37" t="str">
        <x:v>資訊安全、法遵、內控、資料治理</x:v>
      </x:c>
      <x:c r="F103" s="37" t="str">
        <x:v>CISO、AI 治理主管、資安分析師、稽核人員</x:v>
      </x:c>
      <x:c r="G103" s="37" t="str">
        <x:v>現行作法對「彙整中斷、外洩、政策與司法管轄變動」多靠人工彙整、個人經驗或事後處理，難以一致追蹤，造成決策延遲與重工。</x:v>
      </x:c>
      <x:c r="H103" s="37" t="str">
        <x:v>資料／事件接入；彙整中斷、外洩、政策與司法管轄變動；證據與信心呈現；例外分流與人工覆核；及早啟動替代方案成效追蹤；完整稽核軌跡</x:v>
      </x:c>
      <x:c r="I103" s="37" t="str">
        <x:v>異常偵測；因果線索分析；可解釋的建議排序；專門模型焦點：彙整中斷、外洩、政策與司法管轄變動</x:v>
      </x:c>
      <x:c r="J103" s="37" t="str">
        <x:v>依目標自主規劃步驟、呼叫核准工具、遇到例外改走人工佇列，完成後驗證結果並回報</x:v>
      </x:c>
      <x:c r="K103" s="37" t="str">
        <x:v>L4 有護欄自主執行</x:v>
      </x:c>
      <x:c r="L103" s="37" t="str">
        <x:v>AI 流量、敏感資料標籤、模型清單、資安事件、政策、供應商資料</x:v>
      </x:c>
      <x:c r="M103" s="37" t="str">
        <x:v>DLP、CASB、SIEM、IAM、LLM Gateway、EDR、GRC</x:v>
      </x:c>
      <x:c r="N103" s="37" t="str">
        <x:v>員工與系統大量使用外部 AI，企業需看見、限制並證明每次使用符合政策。Demo：匯入一組去識別資料，觸發「彙整中斷、外洩、政策與司法管轄變動」，由系統提出證據、建議與下一步；使用者核准後回寫任務，最後呈現「及早啟動替代方案」前後差異。</x:v>
      </x:c>
      <x:c r="O103" s="37" t="str">
        <x:v>低</x:v>
      </x:c>
      <x:c r="P103" s="37" t="str">
        <x:v>鄰近既有能力：原有資安多涵蓋 IT/OT，未必涵蓋生成式 AI 與自主 Agent 的新型風險。本 App 的獨立邊界是「彙整中斷、外洩、政策與司法管轄變動」，主要產出為「及早啟動替代方案」，不是一般登錄、查詢或看板。</x:v>
      </x:c>
      <x:c r="Q103" s="38" t="n">
        <x:v>5</x:v>
      </x:c>
      <x:c r="R103" s="38" t="n">
        <x:v>4</x:v>
      </x:c>
      <x:c r="S103" s="38" t="str">
        <x:v>P0</x:v>
      </x:c>
      <x:c r="T103" s="38" t="n">
        <x:v>8</x:v>
      </x:c>
      <x:c r="U103" s="39" t="str">
        <x:v>Wave 1 平台底座／旗艦</x:v>
      </x:c>
    </x:row>
    <x:row r="104" ht="86" customHeight="1">
      <x:c r="A104" s="36" t="str">
        <x:v>JV-100</x:v>
      </x:c>
      <x:c r="B104" s="37" t="str">
        <x:v>AI 第三方接入審查台</x:v>
      </x:c>
      <x:c r="C104" s="37" t="str">
        <x:v>AI Security／Governance</x:v>
      </x:c>
      <x:c r="D104" s="37" t="str">
        <x:v>供應鏈安全</x:v>
      </x:c>
      <x:c r="E104" s="37" t="str">
        <x:v>資訊安全、法遵、內控、資料治理</x:v>
      </x:c>
      <x:c r="F104" s="37" t="str">
        <x:v>CISO、AI 治理主管、資安分析師、稽核人員</x:v>
      </x:c>
      <x:c r="G104" s="37" t="str">
        <x:v>現行作法對「以風險問卷、證據與技術測試核准供應商」多靠人工彙整、個人經驗或事後處理，難以一致追蹤，造成決策延遲與重工。</x:v>
      </x:c>
      <x:c r="H104" s="37" t="str">
        <x:v>資料／事件接入；以風險問卷、證據與技術測試核准供應商；證據與信心呈現；例外分流與人工覆核；標準化採購審查成效追蹤；完整稽核軌跡</x:v>
      </x:c>
      <x:c r="I104" s="37" t="str">
        <x:v>RAG 檢索與來源引用；規則＋模型混合判斷；矛盾檢查；專門模型焦點：以風險問卷、證據與技術測試核准供應商</x:v>
      </x:c>
      <x:c r="J104" s="37" t="str">
        <x:v>與多個專業 Agent 協作拆解任務，保留交接證據、逾時升級並在失敗時安全回滾</x:v>
      </x:c>
      <x:c r="K104" s="37" t="str">
        <x:v>L2 建議／需核准</x:v>
      </x:c>
      <x:c r="L104" s="37" t="str">
        <x:v>AI 流量、敏感資料標籤、模型清單、資安事件、政策、供應商資料</x:v>
      </x:c>
      <x:c r="M104" s="37" t="str">
        <x:v>DLP、CASB、SIEM、IAM、LLM Gateway、EDR、GRC</x:v>
      </x:c>
      <x:c r="N104" s="37" t="str">
        <x:v>員工與系統大量使用外部 AI，企業需看見、限制並證明每次使用符合政策。Demo：匯入一組去識別資料，觸發「以風險問卷、證據與技術測試核准供應商」，由系統提出證據、建議與下一步；使用者核准後回寫任務，最後呈現「標準化採購審查」前後差異。</x:v>
      </x:c>
      <x:c r="O104" s="37" t="str">
        <x:v>中低</x:v>
      </x:c>
      <x:c r="P104" s="37" t="str">
        <x:v>鄰近既有能力：原有資安多涵蓋 IT/OT，未必涵蓋生成式 AI 與自主 Agent 的新型風險。本 App 的獨立邊界是「以風險問卷、證據與技術測試核准供應商」，主要產出為「標準化採購審查」，不是一般登錄、查詢或看板。</x:v>
      </x:c>
      <x:c r="Q104" s="38" t="n">
        <x:v>5</x:v>
      </x:c>
      <x:c r="R104" s="38" t="n">
        <x:v>5</x:v>
      </x:c>
      <x:c r="S104" s="38" t="str">
        <x:v>P1</x:v>
      </x:c>
      <x:c r="T104" s="38" t="n">
        <x:v>11</x:v>
      </x:c>
      <x:c r="U104" s="39" t="str">
        <x:v>Wave 2 高價值套件</x:v>
      </x:c>
    </x:row>
    <x:row r="105" ht="86" customHeight="1">
      <x:c r="A105" s="36" t="str">
        <x:v>JV-101</x:v>
      </x:c>
      <x:c r="B105" s="37" t="str">
        <x:v>AI 使用案例風險分級器</x:v>
      </x:c>
      <x:c r="C105" s="37" t="str">
        <x:v>AI Security／Governance</x:v>
      </x:c>
      <x:c r="D105" s="37" t="str">
        <x:v>治理與法遵</x:v>
      </x:c>
      <x:c r="E105" s="37" t="str">
        <x:v>資訊安全、法遵、內控、資料治理</x:v>
      </x:c>
      <x:c r="F105" s="37" t="str">
        <x:v>CISO、AI 治理主管、資安分析師、稽核人員</x:v>
      </x:c>
      <x:c r="G105" s="37" t="str">
        <x:v>現行作法對「依影響對象、自主性、資料與決策性分級」多靠人工彙整、個人經驗或事後處理，難以一致追蹤，造成決策延遲與重工。</x:v>
      </x:c>
      <x:c r="H105" s="37" t="str">
        <x:v>資料／事件接入；依影響對象、自主性、資料與決策性分級；證據與信心呈現；例外分流與人工覆核；套用相符控制成效追蹤；完整稽核軌跡</x:v>
      </x:c>
      <x:c r="I105" s="37" t="str">
        <x:v>語意分類與實體抽取；風險／信心評分；具證據的生成與摘要；專門模型焦點：依影響對象、自主性、資料與決策性分級</x:v>
      </x:c>
      <x:c r="J105" s="37" t="str">
        <x:v>持續監測事件，達門檻後建立案件、蒐集證據、指派責任並追蹤結案；高風險動作需人工核准</x:v>
      </x:c>
      <x:c r="K105" s="37" t="str">
        <x:v>L3 可執行／關鍵核准</x:v>
      </x:c>
      <x:c r="L105" s="37" t="str">
        <x:v>AI 流量、敏感資料標籤、模型清單、資安事件、政策、供應商資料</x:v>
      </x:c>
      <x:c r="M105" s="37" t="str">
        <x:v>DLP、CASB、SIEM、IAM、LLM Gateway、EDR、GRC</x:v>
      </x:c>
      <x:c r="N105" s="37" t="str">
        <x:v>員工與系統大量使用外部 AI，企業需看見、限制並證明每次使用符合政策。Demo：匯入一組去識別資料，觸發「依影響對象、自主性、資料與決策性分級」，由系統提出證據、建議與下一步；使用者核准後回寫任務，最後呈現「套用相符控制」前後差異。</x:v>
      </x:c>
      <x:c r="O105" s="37" t="str">
        <x:v>中低</x:v>
      </x:c>
      <x:c r="P105" s="37" t="str">
        <x:v>鄰近既有能力：原有資安多涵蓋 IT/OT，未必涵蓋生成式 AI 與自主 Agent 的新型風險。本 App 的獨立邊界是「依影響對象、自主性、資料與決策性分級」，主要產出為「套用相符控制」，不是一般登錄、查詢或看板。</x:v>
      </x:c>
      <x:c r="Q105" s="38" t="n">
        <x:v>4</x:v>
      </x:c>
      <x:c r="R105" s="38" t="n">
        <x:v>3</x:v>
      </x:c>
      <x:c r="S105" s="38" t="str">
        <x:v>P0</x:v>
      </x:c>
      <x:c r="T105" s="38" t="n">
        <x:v>6</x:v>
      </x:c>
      <x:c r="U105" s="39" t="str">
        <x:v>Wave 1 平台底座／旗艦</x:v>
      </x:c>
    </x:row>
    <x:row r="106" ht="86" customHeight="1">
      <x:c r="A106" s="36" t="str">
        <x:v>JV-102</x:v>
      </x:c>
      <x:c r="B106" s="37" t="str">
        <x:v>AI 控制措施映射器</x:v>
      </x:c>
      <x:c r="C106" s="37" t="str">
        <x:v>AI Security／Governance</x:v>
      </x:c>
      <x:c r="D106" s="37" t="str">
        <x:v>治理與法遵</x:v>
      </x:c>
      <x:c r="E106" s="37" t="str">
        <x:v>資訊安全、法遵、內控、資料治理</x:v>
      </x:c>
      <x:c r="F106" s="37" t="str">
        <x:v>CISO、AI 治理主管、資安分析師、稽核人員</x:v>
      </x:c>
      <x:c r="G106" s="37" t="str">
        <x:v>現行作法對「將風險映射到政策、測試、監控與人工監督」多靠人工彙整、個人經驗或事後處理，難以一致追蹤，造成決策延遲與重工。</x:v>
      </x:c>
      <x:c r="H106" s="37" t="str">
        <x:v>資料／事件接入；將風險映射到政策、測試、監控與人工監督；證據與信心呈現；例外分流與人工覆核；避免控制缺口成效追蹤；完整稽核軌跡</x:v>
      </x:c>
      <x:c r="I106" s="37" t="str">
        <x:v>預測與情境模擬；多目標最佳化；不確定性呈現；專門模型焦點：將風險映射到政策、測試、監控與人工監督</x:v>
      </x:c>
      <x:c r="J106" s="37" t="str">
        <x:v>定期掃描資料與外部訊號，提出優先序與建議；經核准後同步任務與更新來源系統</x:v>
      </x:c>
      <x:c r="K106" s="37" t="str">
        <x:v>L4 有護欄自主執行</x:v>
      </x:c>
      <x:c r="L106" s="37" t="str">
        <x:v>AI 流量、敏感資料標籤、模型清單、資安事件、政策、供應商資料</x:v>
      </x:c>
      <x:c r="M106" s="37" t="str">
        <x:v>DLP、CASB、SIEM、IAM、LLM Gateway、EDR、GRC</x:v>
      </x:c>
      <x:c r="N106" s="37" t="str">
        <x:v>員工與系統大量使用外部 AI，企業需看見、限制並證明每次使用符合政策。Demo：匯入一組去識別資料，觸發「將風險映射到政策、測試、監控與人工監督」，由系統提出證據、建議與下一步；使用者核准後回寫任務，最後呈現「避免控制缺口」前後差異。</x:v>
      </x:c>
      <x:c r="O106" s="37" t="str">
        <x:v>低</x:v>
      </x:c>
      <x:c r="P106" s="37" t="str">
        <x:v>鄰近既有能力：原有資安多涵蓋 IT/OT，未必涵蓋生成式 AI 與自主 Agent 的新型風險。本 App 的獨立邊界是「將風險映射到政策、測試、監控與人工監督」，主要產出為「避免控制缺口」，不是一般登錄、查詢或看板。</x:v>
      </x:c>
      <x:c r="Q106" s="38" t="n">
        <x:v>5</x:v>
      </x:c>
      <x:c r="R106" s="38" t="n">
        <x:v>4</x:v>
      </x:c>
      <x:c r="S106" s="38" t="str">
        <x:v>P0</x:v>
      </x:c>
      <x:c r="T106" s="38" t="n">
        <x:v>8</x:v>
      </x:c>
      <x:c r="U106" s="39" t="str">
        <x:v>Wave 1 平台底座／旗艦</x:v>
      </x:c>
    </x:row>
    <x:row r="107" ht="86" customHeight="1">
      <x:c r="A107" s="36" t="str">
        <x:v>JV-103</x:v>
      </x:c>
      <x:c r="B107" s="37" t="str">
        <x:v>AI 法規義務矩陣</x:v>
      </x:c>
      <x:c r="C107" s="37" t="str">
        <x:v>AI Security／Governance</x:v>
      </x:c>
      <x:c r="D107" s="37" t="str">
        <x:v>治理與法遵</x:v>
      </x:c>
      <x:c r="E107" s="37" t="str">
        <x:v>資訊安全、法遵、內控、資料治理</x:v>
      </x:c>
      <x:c r="F107" s="37" t="str">
        <x:v>CISO、AI 治理主管、資安分析師、稽核人員</x:v>
      </x:c>
      <x:c r="G107" s="37" t="str">
        <x:v>現行作法對「把各地 AI 法規條文映射到產品與責任部門」多靠人工彙整、個人經驗或事後處理，難以一致追蹤，造成決策延遲與重工。</x:v>
      </x:c>
      <x:c r="H107" s="37" t="str">
        <x:v>資料／事件接入；把各地 AI 法規條文映射到產品與責任部門；證據與信心呈現；例外分流與人工覆核；掌握合規範圍成效追蹤；完整稽核軌跡</x:v>
      </x:c>
      <x:c r="I107" s="37" t="str">
        <x:v>跨文件／跨系統比對；圖譜推理；差異與缺口生成；專門模型焦點：把各地 AI 法規條文映射到產品與責任部門</x:v>
      </x:c>
      <x:c r="J107" s="37" t="str">
        <x:v>以人機協作模式先產生草案與證據包，接受修改後執行核准步驟並建立完整稽核軌跡</x:v>
      </x:c>
      <x:c r="K107" s="37" t="str">
        <x:v>L4 有護欄自主執行</x:v>
      </x:c>
      <x:c r="L107" s="37" t="str">
        <x:v>AI 流量、敏感資料標籤、模型清單、資安事件、政策、供應商資料</x:v>
      </x:c>
      <x:c r="M107" s="37" t="str">
        <x:v>DLP、CASB、SIEM、IAM、LLM Gateway、EDR、GRC</x:v>
      </x:c>
      <x:c r="N107" s="37" t="str">
        <x:v>員工與系統大量使用外部 AI，企業需看見、限制並證明每次使用符合政策。Demo：匯入一組去識別資料，觸發「把各地 AI 法規條文映射到產品與責任部門」，由系統提出證據、建議與下一步；使用者核准後回寫任務，最後呈現「掌握合規範圍」前後差異。</x:v>
      </x:c>
      <x:c r="O107" s="37" t="str">
        <x:v>低</x:v>
      </x:c>
      <x:c r="P107" s="37" t="str">
        <x:v>鄰近既有能力：原有資安多涵蓋 IT/OT，未必涵蓋生成式 AI 與自主 Agent 的新型風險。本 App 的獨立邊界是「把各地 AI 法規條文映射到產品與責任部門」，主要產出為「掌握合規範圍」，不是一般登錄、查詢或看板。</x:v>
      </x:c>
      <x:c r="Q107" s="38" t="n">
        <x:v>5</x:v>
      </x:c>
      <x:c r="R107" s="38" t="n">
        <x:v>4</x:v>
      </x:c>
      <x:c r="S107" s="38" t="str">
        <x:v>P0</x:v>
      </x:c>
      <x:c r="T107" s="38" t="n">
        <x:v>8</x:v>
      </x:c>
      <x:c r="U107" s="39" t="str">
        <x:v>Wave 1 平台底座／旗艦</x:v>
      </x:c>
    </x:row>
    <x:row r="108" ht="86" customHeight="1">
      <x:c r="A108" s="36" t="str">
        <x:v>JV-104</x:v>
      </x:c>
      <x:c r="B108" s="37" t="str">
        <x:v>AI 影響評估工作台</x:v>
      </x:c>
      <x:c r="C108" s="37" t="str">
        <x:v>AI Security／Governance</x:v>
      </x:c>
      <x:c r="D108" s="37" t="str">
        <x:v>治理與法遵</x:v>
      </x:c>
      <x:c r="E108" s="37" t="str">
        <x:v>資訊安全、法遵、內控、資料治理</x:v>
      </x:c>
      <x:c r="F108" s="37" t="str">
        <x:v>CISO、AI 治理主管、資安分析師、稽核人員</x:v>
      </x:c>
      <x:c r="G108" s="37" t="str">
        <x:v>現行作法對「完成偏誤、權利、安全與救濟的結構化評估」多靠人工彙整、個人經驗或事後處理，難以一致追蹤，造成決策延遲與重工。</x:v>
      </x:c>
      <x:c r="H108" s="37" t="str">
        <x:v>資料／事件接入；完成偏誤、權利、安全與救濟的結構化評估；證據與信心呈現；例外分流與人工覆核；留下可稽核證據成效追蹤；完整稽核軌跡</x:v>
      </x:c>
      <x:c r="I108" s="37" t="str">
        <x:v>異常偵測；因果線索分析；可解釋的建議排序；專門模型焦點：完成偏誤、權利、安全與救濟的結構化評估</x:v>
      </x:c>
      <x:c r="J108" s="37" t="str">
        <x:v>依目標自主規劃步驟、呼叫核准工具、遇到例外改走人工佇列，完成後驗證結果並回報</x:v>
      </x:c>
      <x:c r="K108" s="37" t="str">
        <x:v>L4 有護欄自主執行</x:v>
      </x:c>
      <x:c r="L108" s="37" t="str">
        <x:v>AI 流量、敏感資料標籤、模型清單、資安事件、政策、供應商資料</x:v>
      </x:c>
      <x:c r="M108" s="37" t="str">
        <x:v>DLP、CASB、SIEM、IAM、LLM Gateway、EDR、GRC</x:v>
      </x:c>
      <x:c r="N108" s="37" t="str">
        <x:v>員工與系統大量使用外部 AI，企業需看見、限制並證明每次使用符合政策。Demo：匯入一組去識別資料，觸發「完成偏誤、權利、安全與救濟的結構化評估」，由系統提出證據、建議與下一步；使用者核准後回寫任務，最後呈現「留下可稽核證據」前後差異。</x:v>
      </x:c>
      <x:c r="O108" s="37" t="str">
        <x:v>低</x:v>
      </x:c>
      <x:c r="P108" s="37" t="str">
        <x:v>鄰近既有能力：原有資安多涵蓋 IT/OT，未必涵蓋生成式 AI 與自主 Agent 的新型風險。本 App 的獨立邊界是「完成偏誤、權利、安全與救濟的結構化評估」，主要產出為「留下可稽核證據」，不是一般登錄、查詢或看板。</x:v>
      </x:c>
      <x:c r="Q108" s="38" t="n">
        <x:v>5</x:v>
      </x:c>
      <x:c r="R108" s="38" t="n">
        <x:v>4</x:v>
      </x:c>
      <x:c r="S108" s="38" t="str">
        <x:v>P0</x:v>
      </x:c>
      <x:c r="T108" s="38" t="n">
        <x:v>8</x:v>
      </x:c>
      <x:c r="U108" s="39" t="str">
        <x:v>Wave 1 平台底座／旗艦</x:v>
      </x:c>
    </x:row>
    <x:row r="109" ht="86" customHeight="1">
      <x:c r="A109" s="36" t="str">
        <x:v>JV-105</x:v>
      </x:c>
      <x:c r="B109" s="37" t="str">
        <x:v>AI 治理例外管理器</x:v>
      </x:c>
      <x:c r="C109" s="37" t="str">
        <x:v>AI Security／Governance</x:v>
      </x:c>
      <x:c r="D109" s="37" t="str">
        <x:v>治理與法遵</x:v>
      </x:c>
      <x:c r="E109" s="37" t="str">
        <x:v>資訊安全、法遵、內控、資料治理</x:v>
      </x:c>
      <x:c r="F109" s="37" t="str">
        <x:v>CISO、AI 治理主管、資安分析師、稽核人員</x:v>
      </x:c>
      <x:c r="G109" s="37" t="str">
        <x:v>現行作法對「記錄例外原因、補償控制、期限與覆核人」多靠人工彙整、個人經驗或事後處理，難以一致追蹤，造成決策延遲與重工。</x:v>
      </x:c>
      <x:c r="H109" s="37" t="str">
        <x:v>資料／事件接入；記錄例外原因、補償控制、期限與覆核人；證據與信心呈現；例外分流與人工覆核；防止例外永久化成效追蹤；完整稽核軌跡</x:v>
      </x:c>
      <x:c r="I109" s="37" t="str">
        <x:v>RAG 檢索與來源引用；規則＋模型混合判斷；矛盾檢查；專門模型焦點：記錄例外原因、補償控制、期限與覆核人</x:v>
      </x:c>
      <x:c r="J109" s="37" t="str">
        <x:v>與多個專業 Agent 協作拆解任務，保留交接證據、逾時升級並在失敗時安全回滾</x:v>
      </x:c>
      <x:c r="K109" s="37" t="str">
        <x:v>L2 建議／需核准</x:v>
      </x:c>
      <x:c r="L109" s="37" t="str">
        <x:v>AI 流量、敏感資料標籤、模型清單、資安事件、政策、供應商資料</x:v>
      </x:c>
      <x:c r="M109" s="37" t="str">
        <x:v>DLP、CASB、SIEM、IAM、LLM Gateway、EDR、GRC</x:v>
      </x:c>
      <x:c r="N109" s="37" t="str">
        <x:v>員工與系統大量使用外部 AI，企業需看見、限制並證明每次使用符合政策。Demo：匯入一組去識別資料，觸發「記錄例外原因、補償控制、期限與覆核人」，由系統提出證據、建議與下一步；使用者核准後回寫任務，最後呈現「防止例外永久化」前後差異。</x:v>
      </x:c>
      <x:c r="O109" s="37" t="str">
        <x:v>中低</x:v>
      </x:c>
      <x:c r="P109" s="37" t="str">
        <x:v>鄰近既有能力：原有資安多涵蓋 IT/OT，未必涵蓋生成式 AI 與自主 Agent 的新型風險。本 App 的獨立邊界是「記錄例外原因、補償控制、期限與覆核人」，主要產出為「防止例外永久化」，不是一般登錄、查詢或看板。</x:v>
      </x:c>
      <x:c r="Q109" s="38" t="n">
        <x:v>5</x:v>
      </x:c>
      <x:c r="R109" s="38" t="n">
        <x:v>5</x:v>
      </x:c>
      <x:c r="S109" s="38" t="str">
        <x:v>P0</x:v>
      </x:c>
      <x:c r="T109" s="38" t="n">
        <x:v>10</x:v>
      </x:c>
      <x:c r="U109" s="39" t="str">
        <x:v>Wave 1 平台底座／旗艦</x:v>
      </x:c>
    </x:row>
    <x:row r="110" ht="86" customHeight="1">
      <x:c r="A110" s="36" t="str">
        <x:v>JV-106</x:v>
      </x:c>
      <x:c r="B110" s="37" t="str">
        <x:v>AI 事件分級指揮台</x:v>
      </x:c>
      <x:c r="C110" s="37" t="str">
        <x:v>AI Security／Governance</x:v>
      </x:c>
      <x:c r="D110" s="37" t="str">
        <x:v>事件應變</x:v>
      </x:c>
      <x:c r="E110" s="37" t="str">
        <x:v>資訊安全、法遵、內控、資料治理</x:v>
      </x:c>
      <x:c r="F110" s="37" t="str">
        <x:v>CISO、AI 治理主管、資安分析師、稽核人員</x:v>
      </x:c>
      <x:c r="G110" s="37" t="str">
        <x:v>現行作法對「按資料、決策與自主行為影響分級處置」多靠人工彙整、個人經驗或事後處理，難以一致追蹤，造成決策延遲與重工。</x:v>
      </x:c>
      <x:c r="H110" s="37" t="str">
        <x:v>資料／事件接入；按資料、決策與自主行為影響分級處置；證據與信心呈現；例外分流與人工覆核；縮短回應時間成效追蹤；完整稽核軌跡</x:v>
      </x:c>
      <x:c r="I110" s="37" t="str">
        <x:v>語意分類與實體抽取；風險／信心評分；具證據的生成與摘要；專門模型焦點：按資料、決策與自主行為影響分級處置</x:v>
      </x:c>
      <x:c r="J110" s="37" t="str">
        <x:v>持續監測事件，達門檻後建立案件、蒐集證據、指派責任並追蹤結案；高風險動作需人工核准</x:v>
      </x:c>
      <x:c r="K110" s="37" t="str">
        <x:v>L3 可執行／關鍵核准</x:v>
      </x:c>
      <x:c r="L110" s="37" t="str">
        <x:v>AI 流量、敏感資料標籤、模型清單、資安事件、政策、供應商資料</x:v>
      </x:c>
      <x:c r="M110" s="37" t="str">
        <x:v>DLP、CASB、SIEM、IAM、LLM Gateway、EDR、GRC</x:v>
      </x:c>
      <x:c r="N110" s="37" t="str">
        <x:v>員工與系統大量使用外部 AI，企業需看見、限制並證明每次使用符合政策。Demo：匯入一組去識別資料，觸發「按資料、決策與自主行為影響分級處置」，由系統提出證據、建議與下一步；使用者核准後回寫任務，最後呈現「縮短回應時間」前後差異。</x:v>
      </x:c>
      <x:c r="O110" s="37" t="str">
        <x:v>中低</x:v>
      </x:c>
      <x:c r="P110" s="37" t="str">
        <x:v>鄰近既有能力：原有資安多涵蓋 IT/OT，未必涵蓋生成式 AI 與自主 Agent 的新型風險。本 App 的獨立邊界是「按資料、決策與自主行為影響分級處置」，主要產出為「縮短回應時間」，不是一般登錄、查詢或看板。</x:v>
      </x:c>
      <x:c r="Q110" s="38" t="n">
        <x:v>5</x:v>
      </x:c>
      <x:c r="R110" s="38" t="n">
        <x:v>3</x:v>
      </x:c>
      <x:c r="S110" s="38" t="str">
        <x:v>P0</x:v>
      </x:c>
      <x:c r="T110" s="38" t="n">
        <x:v>6</x:v>
      </x:c>
      <x:c r="U110" s="39" t="str">
        <x:v>Wave 1 平台底座／旗艦</x:v>
      </x:c>
    </x:row>
    <x:row r="111" ht="86" customHeight="1">
      <x:c r="A111" s="36" t="str">
        <x:v>JV-107</x:v>
      </x:c>
      <x:c r="B111" s="37" t="str">
        <x:v>AI 對話鑑識工具</x:v>
      </x:c>
      <x:c r="C111" s="37" t="str">
        <x:v>AI Security／Governance</x:v>
      </x:c>
      <x:c r="D111" s="37" t="str">
        <x:v>事件應變</x:v>
      </x:c>
      <x:c r="E111" s="37" t="str">
        <x:v>資訊安全、法遵、內控、資料治理</x:v>
      </x:c>
      <x:c r="F111" s="37" t="str">
        <x:v>CISO、AI 治理主管、資安分析師、稽核人員</x:v>
      </x:c>
      <x:c r="G111" s="37" t="str">
        <x:v>現行作法對「重建提示、上下文、模型、工具與輸出鏈」多靠人工彙整、個人經驗或事後處理，難以一致追蹤，造成決策延遲與重工。</x:v>
      </x:c>
      <x:c r="H111" s="37" t="str">
        <x:v>資料／事件接入；重建提示、上下文、模型、工具與輸出鏈；證據與信心呈現；例外分流與人工覆核；支援根因分析成效追蹤；完整稽核軌跡</x:v>
      </x:c>
      <x:c r="I111" s="37" t="str">
        <x:v>預測與情境模擬；多目標最佳化；不確定性呈現；專門模型焦點：重建提示、上下文、模型、工具與輸出鏈</x:v>
      </x:c>
      <x:c r="J111" s="37" t="str">
        <x:v>定期掃描資料與外部訊號，提出優先序與建議；經核准後同步任務與更新來源系統</x:v>
      </x:c>
      <x:c r="K111" s="37" t="str">
        <x:v>L4 有護欄自主執行</x:v>
      </x:c>
      <x:c r="L111" s="37" t="str">
        <x:v>AI 流量、敏感資料標籤、模型清單、資安事件、政策、供應商資料</x:v>
      </x:c>
      <x:c r="M111" s="37" t="str">
        <x:v>DLP、CASB、SIEM、IAM、LLM Gateway、EDR、GRC</x:v>
      </x:c>
      <x:c r="N111" s="37" t="str">
        <x:v>員工與系統大量使用外部 AI，企業需看見、限制並證明每次使用符合政策。Demo：匯入一組去識別資料，觸發「重建提示、上下文、模型、工具與輸出鏈」，由系統提出證據、建議與下一步；使用者核准後回寫任務，最後呈現「支援根因分析」前後差異。</x:v>
      </x:c>
      <x:c r="O111" s="37" t="str">
        <x:v>低</x:v>
      </x:c>
      <x:c r="P111" s="37" t="str">
        <x:v>鄰近既有能力：原有資安多涵蓋 IT/OT，未必涵蓋生成式 AI 與自主 Agent 的新型風險。本 App 的獨立邊界是「重建提示、上下文、模型、工具與輸出鏈」，主要產出為「支援根因分析」，不是一般登錄、查詢或看板。</x:v>
      </x:c>
      <x:c r="Q111" s="38" t="n">
        <x:v>4</x:v>
      </x:c>
      <x:c r="R111" s="38" t="n">
        <x:v>4</x:v>
      </x:c>
      <x:c r="S111" s="38" t="str">
        <x:v>P0</x:v>
      </x:c>
      <x:c r="T111" s="38" t="n">
        <x:v>8</x:v>
      </x:c>
      <x:c r="U111" s="39" t="str">
        <x:v>Wave 1 平台底座／旗艦</x:v>
      </x:c>
    </x:row>
    <x:row r="112" ht="86" customHeight="1">
      <x:c r="A112" s="36" t="str">
        <x:v>JV-108</x:v>
      </x:c>
      <x:c r="B112" s="37" t="str">
        <x:v>模型濫用封鎖中心</x:v>
      </x:c>
      <x:c r="C112" s="37" t="str">
        <x:v>AI Security／Governance</x:v>
      </x:c>
      <x:c r="D112" s="37" t="str">
        <x:v>事件應變</x:v>
      </x:c>
      <x:c r="E112" s="37" t="str">
        <x:v>資訊安全、法遵、內控、資料治理</x:v>
      </x:c>
      <x:c r="F112" s="37" t="str">
        <x:v>CISO、AI 治理主管、資安分析師、稽核人員</x:v>
      </x:c>
      <x:c r="G112" s="37" t="str">
        <x:v>現行作法對「即時停用金鑰、模型、工具或特定使用者」多靠人工彙整、個人經驗或事後處理，難以一致追蹤，造成決策延遲與重工。</x:v>
      </x:c>
      <x:c r="H112" s="37" t="str">
        <x:v>資料／事件接入；即時停用金鑰、模型、工具或特定使用者；證據與信心呈現；例外分流與人工覆核；快速控制損害成效追蹤；完整稽核軌跡</x:v>
      </x:c>
      <x:c r="I112" s="37" t="str">
        <x:v>跨文件／跨系統比對；圖譜推理；差異與缺口生成；專門模型焦點：即時停用金鑰、模型、工具或特定使用者</x:v>
      </x:c>
      <x:c r="J112" s="37" t="str">
        <x:v>以人機協作模式先產生草案與證據包，接受修改後執行核准步驟並建立完整稽核軌跡</x:v>
      </x:c>
      <x:c r="K112" s="37" t="str">
        <x:v>L3 可執行／關鍵核准</x:v>
      </x:c>
      <x:c r="L112" s="37" t="str">
        <x:v>AI 流量、敏感資料標籤、模型清單、資安事件、政策、供應商資料</x:v>
      </x:c>
      <x:c r="M112" s="37" t="str">
        <x:v>DLP、CASB、SIEM、IAM、LLM Gateway、EDR、GRC</x:v>
      </x:c>
      <x:c r="N112" s="37" t="str">
        <x:v>員工與系統大量使用外部 AI，企業需看見、限制並證明每次使用符合政策。Demo：匯入一組去識別資料，觸發「即時停用金鑰、模型、工具或特定使用者」，由系統提出證據、建議與下一步；使用者核准後回寫任務，最後呈現「快速控制損害」前後差異。</x:v>
      </x:c>
      <x:c r="O112" s="37" t="str">
        <x:v>低</x:v>
      </x:c>
      <x:c r="P112" s="37" t="str">
        <x:v>鄰近既有能力：原有資安多涵蓋 IT/OT，未必涵蓋生成式 AI 與自主 Agent 的新型風險。本 App 的獨立邊界是「即時停用金鑰、模型、工具或特定使用者」，主要產出為「快速控制損害」，不是一般登錄、查詢或看板。</x:v>
      </x:c>
      <x:c r="Q112" s="38" t="n">
        <x:v>5</x:v>
      </x:c>
      <x:c r="R112" s="38" t="n">
        <x:v>4</x:v>
      </x:c>
      <x:c r="S112" s="38" t="str">
        <x:v>P1</x:v>
      </x:c>
      <x:c r="T112" s="38" t="n">
        <x:v>9</x:v>
      </x:c>
      <x:c r="U112" s="39" t="str">
        <x:v>Wave 2 高價值套件</x:v>
      </x:c>
    </x:row>
    <x:row r="113" ht="86" customHeight="1">
      <x:c r="A113" s="36" t="str">
        <x:v>JV-109</x:v>
      </x:c>
      <x:c r="B113" s="37" t="str">
        <x:v>AI 事件通知產生器</x:v>
      </x:c>
      <x:c r="C113" s="37" t="str">
        <x:v>AI Security／Governance</x:v>
      </x:c>
      <x:c r="D113" s="37" t="str">
        <x:v>事件應變</x:v>
      </x:c>
      <x:c r="E113" s="37" t="str">
        <x:v>資訊安全、法遵、內控、資料治理</x:v>
      </x:c>
      <x:c r="F113" s="37" t="str">
        <x:v>CISO、AI 治理主管、資安分析師、稽核人員</x:v>
      </x:c>
      <x:c r="G113" s="37" t="str">
        <x:v>現行作法對「依受影響對象與法規產生通知草稿」多靠人工彙整、個人經驗或事後處理，難以一致追蹤，造成決策延遲與重工。</x:v>
      </x:c>
      <x:c r="H113" s="37" t="str">
        <x:v>資料／事件接入；依受影響對象與法規產生通知草稿；證據與信心呈現；例外分流與人工覆核；加速溝通成效追蹤；完整稽核軌跡</x:v>
      </x:c>
      <x:c r="I113" s="37" t="str">
        <x:v>異常偵測；因果線索分析；可解釋的建議排序；專門模型焦點：依受影響對象與法規產生通知草稿</x:v>
      </x:c>
      <x:c r="J113" s="37" t="str">
        <x:v>依目標自主規劃步驟、呼叫核准工具、遇到例外改走人工佇列，完成後驗證結果並回報</x:v>
      </x:c>
      <x:c r="K113" s="37" t="str">
        <x:v>L4 有護欄自主執行</x:v>
      </x:c>
      <x:c r="L113" s="37" t="str">
        <x:v>AI 流量、敏感資料標籤、模型清單、資安事件、政策、供應商資料</x:v>
      </x:c>
      <x:c r="M113" s="37" t="str">
        <x:v>DLP、CASB、SIEM、IAM、LLM Gateway、EDR、GRC</x:v>
      </x:c>
      <x:c r="N113" s="37" t="str">
        <x:v>員工與系統大量使用外部 AI，企業需看見、限制並證明每次使用符合政策。Demo：匯入一組去識別資料，觸發「依受影響對象與法規產生通知草稿」，由系統提出證據、建議與下一步；使用者核准後回寫任務，最後呈現「加速溝通」前後差異。</x:v>
      </x:c>
      <x:c r="O113" s="37" t="str">
        <x:v>低</x:v>
      </x:c>
      <x:c r="P113" s="37" t="str">
        <x:v>鄰近既有能力：原有資安多涵蓋 IT/OT，未必涵蓋生成式 AI 與自主 Agent 的新型風險。本 App 的獨立邊界是「依受影響對象與法規產生通知草稿」，主要產出為「加速溝通」，不是一般登錄、查詢或看板。</x:v>
      </x:c>
      <x:c r="Q113" s="38" t="n">
        <x:v>5</x:v>
      </x:c>
      <x:c r="R113" s="38" t="n">
        <x:v>4</x:v>
      </x:c>
      <x:c r="S113" s="38" t="str">
        <x:v>P0</x:v>
      </x:c>
      <x:c r="T113" s="38" t="n">
        <x:v>8</x:v>
      </x:c>
      <x:c r="U113" s="39" t="str">
        <x:v>Wave 1 平台底座／旗艦</x:v>
      </x:c>
    </x:row>
    <x:row r="114" ht="86" customHeight="1">
      <x:c r="A114" s="36" t="str">
        <x:v>JV-110</x:v>
      </x:c>
      <x:c r="B114" s="37" t="str">
        <x:v>AI 改善行動追蹤器</x:v>
      </x:c>
      <x:c r="C114" s="37" t="str">
        <x:v>AI Security／Governance</x:v>
      </x:c>
      <x:c r="D114" s="37" t="str">
        <x:v>事件應變</x:v>
      </x:c>
      <x:c r="E114" s="37" t="str">
        <x:v>資訊安全、法遵、內控、資料治理</x:v>
      </x:c>
      <x:c r="F114" s="37" t="str">
        <x:v>CISO、AI 治理主管、資安分析師、稽核人員</x:v>
      </x:c>
      <x:c r="G114" s="37" t="str">
        <x:v>現行作法對「從事件根因建立責任、期限與驗證測試」多靠人工彙整、個人經驗或事後處理，難以一致追蹤，造成決策延遲與重工。</x:v>
      </x:c>
      <x:c r="H114" s="37" t="str">
        <x:v>資料／事件接入；從事件根因建立責任、期限與驗證測試；證據與信心呈現；例外分流與人工覆核；確保不再發生成效追蹤；完整稽核軌跡</x:v>
      </x:c>
      <x:c r="I114" s="37" t="str">
        <x:v>RAG 檢索與來源引用；規則＋模型混合判斷；矛盾檢查；專門模型焦點：從事件根因建立責任、期限與驗證測試</x:v>
      </x:c>
      <x:c r="J114" s="37" t="str">
        <x:v>與多個專業 Agent 協作拆解任務，保留交接證據、逾時升級並在失敗時安全回滾</x:v>
      </x:c>
      <x:c r="K114" s="37" t="str">
        <x:v>L2 建議／需核准</x:v>
      </x:c>
      <x:c r="L114" s="37" t="str">
        <x:v>AI 流量、敏感資料標籤、模型清單、資安事件、政策、供應商資料</x:v>
      </x:c>
      <x:c r="M114" s="37" t="str">
        <x:v>DLP、CASB、SIEM、IAM、LLM Gateway、EDR、GRC</x:v>
      </x:c>
      <x:c r="N114" s="37" t="str">
        <x:v>員工與系統大量使用外部 AI，企業需看見、限制並證明每次使用符合政策。Demo：匯入一組去識別資料，觸發「從事件根因建立責任、期限與驗證測試」，由系統提出證據、建議與下一步；使用者核准後回寫任務，最後呈現「確保不再發生」前後差異。</x:v>
      </x:c>
      <x:c r="O114" s="37" t="str">
        <x:v>中低</x:v>
      </x:c>
      <x:c r="P114" s="37" t="str">
        <x:v>鄰近既有能力：原有資安多涵蓋 IT/OT，未必涵蓋生成式 AI 與自主 Agent 的新型風險。本 App 的獨立邊界是「從事件根因建立責任、期限與驗證測試」，主要產出為「確保不再發生」，不是一般登錄、查詢或看板。</x:v>
      </x:c>
      <x:c r="Q114" s="38" t="n">
        <x:v>5</x:v>
      </x:c>
      <x:c r="R114" s="38" t="n">
        <x:v>5</x:v>
      </x:c>
      <x:c r="S114" s="38" t="str">
        <x:v>P0</x:v>
      </x:c>
      <x:c r="T114" s="38" t="n">
        <x:v>10</x:v>
      </x:c>
      <x:c r="U114" s="39" t="str">
        <x:v>Wave 1 平台底座／旗艦</x:v>
      </x:c>
    </x:row>
    <x:row r="115" ht="86" customHeight="1">
      <x:c r="A115" s="36" t="str">
        <x:v>JV-111</x:v>
      </x:c>
      <x:c r="B115" s="37" t="str">
        <x:v>AI 偏誤切片分析器</x:v>
      </x:c>
      <x:c r="C115" s="37" t="str">
        <x:v>AI Security／Governance</x:v>
      </x:c>
      <x:c r="D115" s="37" t="str">
        <x:v>信任與偏誤</x:v>
      </x:c>
      <x:c r="E115" s="37" t="str">
        <x:v>資訊安全、法遵、內控、資料治理</x:v>
      </x:c>
      <x:c r="F115" s="37" t="str">
        <x:v>CISO、AI 治理主管、資安分析師、稽核人員</x:v>
      </x:c>
      <x:c r="G115" s="37" t="str">
        <x:v>現行作法對「按族群、地區、產品與情境比較錯誤率」多靠人工彙整、個人經驗或事後處理，難以一致追蹤，造成決策延遲與重工。</x:v>
      </x:c>
      <x:c r="H115" s="37" t="str">
        <x:v>資料／事件接入；按族群、地區、產品與情境比較錯誤率；證據與信心呈現；例外分流與人工覆核；找出平均值掩蓋的不公平成效追蹤；完整稽核軌跡</x:v>
      </x:c>
      <x:c r="I115" s="37" t="str">
        <x:v>語意分類與實體抽取；風險／信心評分；具證據的生成與摘要；專門模型焦點：按族群、地區、產品與情境比較錯誤率</x:v>
      </x:c>
      <x:c r="J115" s="37" t="str">
        <x:v>持續監測事件，達門檻後建立案件、蒐集證據、指派責任並追蹤結案；高風險動作需人工核准</x:v>
      </x:c>
      <x:c r="K115" s="37" t="str">
        <x:v>L3 可執行／關鍵核准</x:v>
      </x:c>
      <x:c r="L115" s="37" t="str">
        <x:v>AI 流量、敏感資料標籤、模型清單、資安事件、政策、供應商資料</x:v>
      </x:c>
      <x:c r="M115" s="37" t="str">
        <x:v>DLP、CASB、SIEM、IAM、LLM Gateway、EDR、GRC</x:v>
      </x:c>
      <x:c r="N115" s="37" t="str">
        <x:v>員工與系統大量使用外部 AI，企業需看見、限制並證明每次使用符合政策。Demo：匯入一組去識別資料，觸發「按族群、地區、產品與情境比較錯誤率」，由系統提出證據、建議與下一步；使用者核准後回寫任務，最後呈現「找出平均值掩蓋的不公平」前後差異。</x:v>
      </x:c>
      <x:c r="O115" s="37" t="str">
        <x:v>中低</x:v>
      </x:c>
      <x:c r="P115" s="37" t="str">
        <x:v>鄰近既有能力：原有資安多涵蓋 IT/OT，未必涵蓋生成式 AI 與自主 Agent 的新型風險。本 App 的獨立邊界是「按族群、地區、產品與情境比較錯誤率」，主要產出為「找出平均值掩蓋的不公平」，不是一般登錄、查詢或看板。</x:v>
      </x:c>
      <x:c r="Q115" s="38" t="n">
        <x:v>5</x:v>
      </x:c>
      <x:c r="R115" s="38" t="n">
        <x:v>3</x:v>
      </x:c>
      <x:c r="S115" s="38" t="str">
        <x:v>P0</x:v>
      </x:c>
      <x:c r="T115" s="38" t="n">
        <x:v>6</x:v>
      </x:c>
      <x:c r="U115" s="39" t="str">
        <x:v>Wave 1 平台底座／旗艦</x:v>
      </x:c>
    </x:row>
    <x:row r="116" ht="86" customHeight="1">
      <x:c r="A116" s="36" t="str">
        <x:v>JV-112</x:v>
      </x:c>
      <x:c r="B116" s="37" t="str">
        <x:v>AI 決策申訴入口</x:v>
      </x:c>
      <x:c r="C116" s="37" t="str">
        <x:v>AI Security／Governance</x:v>
      </x:c>
      <x:c r="D116" s="37" t="str">
        <x:v>信任與偏誤</x:v>
      </x:c>
      <x:c r="E116" s="37" t="str">
        <x:v>資訊安全、法遵、內控、資料治理</x:v>
      </x:c>
      <x:c r="F116" s="37" t="str">
        <x:v>CISO、AI 治理主管、資安分析師、稽核人員</x:v>
      </x:c>
      <x:c r="G116" s="37" t="str">
        <x:v>現行作法對「讓受影響者取得理由、補件並要求人工覆核」多靠人工彙整、個人經驗或事後處理，難以一致追蹤，造成決策延遲與重工。</x:v>
      </x:c>
      <x:c r="H116" s="37" t="str">
        <x:v>資料／事件接入；讓受影響者取得理由、補件並要求人工覆核；證據與信心呈現；例外分流與人工覆核；建立救濟機制成效追蹤；完整稽核軌跡</x:v>
      </x:c>
      <x:c r="I116" s="37" t="str">
        <x:v>預測與情境模擬；多目標最佳化；不確定性呈現；專門模型焦點：讓受影響者取得理由、補件並要求人工覆核</x:v>
      </x:c>
      <x:c r="J116" s="37" t="str">
        <x:v>定期掃描資料與外部訊號，提出優先序與建議；經核准後同步任務與更新來源系統</x:v>
      </x:c>
      <x:c r="K116" s="37" t="str">
        <x:v>L4 有護欄自主執行</x:v>
      </x:c>
      <x:c r="L116" s="37" t="str">
        <x:v>AI 流量、敏感資料標籤、模型清單、資安事件、政策、供應商資料</x:v>
      </x:c>
      <x:c r="M116" s="37" t="str">
        <x:v>DLP、CASB、SIEM、IAM、LLM Gateway、EDR、GRC</x:v>
      </x:c>
      <x:c r="N116" s="37" t="str">
        <x:v>員工與系統大量使用外部 AI，企業需看見、限制並證明每次使用符合政策。Demo：匯入一組去識別資料，觸發「讓受影響者取得理由、補件並要求人工覆核」，由系統提出證據、建議與下一步；使用者核准後回寫任務，最後呈現「建立救濟機制」前後差異。</x:v>
      </x:c>
      <x:c r="O116" s="37" t="str">
        <x:v>低</x:v>
      </x:c>
      <x:c r="P116" s="37" t="str">
        <x:v>鄰近既有能力：原有資安多涵蓋 IT/OT，未必涵蓋生成式 AI 與自主 Agent 的新型風險。本 App 的獨立邊界是「讓受影響者取得理由、補件並要求人工覆核」，主要產出為「建立救濟機制」，不是一般登錄、查詢或看板。</x:v>
      </x:c>
      <x:c r="Q116" s="38" t="n">
        <x:v>5</x:v>
      </x:c>
      <x:c r="R116" s="38" t="n">
        <x:v>4</x:v>
      </x:c>
      <x:c r="S116" s="38" t="str">
        <x:v>P0</x:v>
      </x:c>
      <x:c r="T116" s="38" t="n">
        <x:v>8</x:v>
      </x:c>
      <x:c r="U116" s="39" t="str">
        <x:v>Wave 1 平台底座／旗艦</x:v>
      </x:c>
    </x:row>
    <x:row r="117" ht="86" customHeight="1">
      <x:c r="A117" s="36" t="str">
        <x:v>JV-113</x:v>
      </x:c>
      <x:c r="B117" s="37" t="str">
        <x:v>AI 可解釋性證據庫</x:v>
      </x:c>
      <x:c r="C117" s="37" t="str">
        <x:v>AI Security／Governance</x:v>
      </x:c>
      <x:c r="D117" s="37" t="str">
        <x:v>信任與偏誤</x:v>
      </x:c>
      <x:c r="E117" s="37" t="str">
        <x:v>資訊安全、法遵、內控、資料治理</x:v>
      </x:c>
      <x:c r="F117" s="37" t="str">
        <x:v>CISO、AI 治理主管、資安分析師、稽核人員</x:v>
      </x:c>
      <x:c r="G117" s="37" t="str">
        <x:v>現行作法對「保存特徵、規則、來源與決策版本」多靠人工彙整、個人經驗或事後處理，難以一致追蹤，造成決策延遲與重工。</x:v>
      </x:c>
      <x:c r="H117" s="37" t="str">
        <x:v>資料／事件接入；保存特徵、規則、來源與決策版本；證據與信心呈現；例外分流與人工覆核；支援個案說明成效追蹤；完整稽核軌跡</x:v>
      </x:c>
      <x:c r="I117" s="37" t="str">
        <x:v>跨文件／跨系統比對；圖譜推理；差異與缺口生成；專門模型焦點：保存特徵、規則、來源與決策版本</x:v>
      </x:c>
      <x:c r="J117" s="37" t="str">
        <x:v>以人機協作模式先產生草案與證據包，接受修改後執行核准步驟並建立完整稽核軌跡</x:v>
      </x:c>
      <x:c r="K117" s="37" t="str">
        <x:v>L4 有護欄自主執行</x:v>
      </x:c>
      <x:c r="L117" s="37" t="str">
        <x:v>AI 流量、敏感資料標籤、模型清單、資安事件、政策、供應商資料</x:v>
      </x:c>
      <x:c r="M117" s="37" t="str">
        <x:v>DLP、CASB、SIEM、IAM、LLM Gateway、EDR、GRC</x:v>
      </x:c>
      <x:c r="N117" s="37" t="str">
        <x:v>員工與系統大量使用外部 AI，企業需看見、限制並證明每次使用符合政策。Demo：匯入一組去識別資料，觸發「保存特徵、規則、來源與決策版本」，由系統提出證據、建議與下一步；使用者核准後回寫任務，最後呈現「支援個案說明」前後差異。</x:v>
      </x:c>
      <x:c r="O117" s="37" t="str">
        <x:v>低</x:v>
      </x:c>
      <x:c r="P117" s="37" t="str">
        <x:v>鄰近既有能力：原有資安多涵蓋 IT/OT，未必涵蓋生成式 AI 與自主 Agent 的新型風險。本 App 的獨立邊界是「保存特徵、規則、來源與決策版本」，主要產出為「支援個案說明」，不是一般登錄、查詢或看板。</x:v>
      </x:c>
      <x:c r="Q117" s="38" t="n">
        <x:v>4</x:v>
      </x:c>
      <x:c r="R117" s="38" t="n">
        <x:v>4</x:v>
      </x:c>
      <x:c r="S117" s="38" t="str">
        <x:v>P0</x:v>
      </x:c>
      <x:c r="T117" s="38" t="n">
        <x:v>8</x:v>
      </x:c>
      <x:c r="U117" s="39" t="str">
        <x:v>Wave 1 平台底座／旗艦</x:v>
      </x:c>
    </x:row>
    <x:row r="118" ht="86" customHeight="1">
      <x:c r="A118" s="36" t="str">
        <x:v>JV-114</x:v>
      </x:c>
      <x:c r="B118" s="37" t="str">
        <x:v>AI 高風險決策雙人覆核</x:v>
      </x:c>
      <x:c r="C118" s="37" t="str">
        <x:v>AI Security／Governance</x:v>
      </x:c>
      <x:c r="D118" s="37" t="str">
        <x:v>信任與偏誤</x:v>
      </x:c>
      <x:c r="E118" s="37" t="str">
        <x:v>資訊安全、法遵、內控、資料治理</x:v>
      </x:c>
      <x:c r="F118" s="37" t="str">
        <x:v>CISO、AI 治理主管、資安分析師、稽核人員</x:v>
      </x:c>
      <x:c r="G118" s="37" t="str">
        <x:v>現行作法對「對聘僱、授信等決策強制兩階段人工核准」多靠人工彙整、個人經驗或事後處理，難以一致追蹤，造成決策延遲與重工。</x:v>
      </x:c>
      <x:c r="H118" s="37" t="str">
        <x:v>資料／事件接入；對聘僱、授信等決策強制兩階段人工核准；證據與信心呈現；例外分流與人工覆核；避免單點自動決策成效追蹤；完整稽核軌跡</x:v>
      </x:c>
      <x:c r="I118" s="37" t="str">
        <x:v>異常偵測；因果線索分析；可解釋的建議排序；專門模型焦點：對聘僱、授信等決策強制兩階段人工核准</x:v>
      </x:c>
      <x:c r="J118" s="37" t="str">
        <x:v>依目標自主規劃步驟、呼叫核准工具、遇到例外改走人工佇列，完成後驗證結果並回報</x:v>
      </x:c>
      <x:c r="K118" s="37" t="str">
        <x:v>L4 有護欄自主執行</x:v>
      </x:c>
      <x:c r="L118" s="37" t="str">
        <x:v>AI 流量、敏感資料標籤、模型清單、資安事件、政策、供應商資料</x:v>
      </x:c>
      <x:c r="M118" s="37" t="str">
        <x:v>DLP、CASB、SIEM、IAM、LLM Gateway、EDR、GRC</x:v>
      </x:c>
      <x:c r="N118" s="37" t="str">
        <x:v>員工與系統大量使用外部 AI，企業需看見、限制並證明每次使用符合政策。Demo：匯入一組去識別資料，觸發「對聘僱、授信等決策強制兩階段人工核准」，由系統提出證據、建議與下一步；使用者核准後回寫任務，最後呈現「避免單點自動決策」前後差異。</x:v>
      </x:c>
      <x:c r="O118" s="37" t="str">
        <x:v>低</x:v>
      </x:c>
      <x:c r="P118" s="37" t="str">
        <x:v>鄰近既有能力：原有資安多涵蓋 IT/OT，未必涵蓋生成式 AI 與自主 Agent 的新型風險。本 App 的獨立邊界是「對聘僱、授信等決策強制兩階段人工核准」，主要產出為「避免單點自動決策」，不是一般登錄、查詢或看板。</x:v>
      </x:c>
      <x:c r="Q118" s="38" t="n">
        <x:v>5</x:v>
      </x:c>
      <x:c r="R118" s="38" t="n">
        <x:v>4</x:v>
      </x:c>
      <x:c r="S118" s="38" t="str">
        <x:v>P0</x:v>
      </x:c>
      <x:c r="T118" s="38" t="n">
        <x:v>8</x:v>
      </x:c>
      <x:c r="U118" s="39" t="str">
        <x:v>Wave 1 平台底座／旗艦</x:v>
      </x:c>
    </x:row>
    <x:row r="119" ht="86" customHeight="1">
      <x:c r="A119" s="36" t="str">
        <x:v>JV-115</x:v>
      </x:c>
      <x:c r="B119" s="37" t="str">
        <x:v>AI 信任透明報告器</x:v>
      </x:c>
      <x:c r="C119" s="37" t="str">
        <x:v>AI Security／Governance</x:v>
      </x:c>
      <x:c r="D119" s="37" t="str">
        <x:v>信任與偏誤</x:v>
      </x:c>
      <x:c r="E119" s="37" t="str">
        <x:v>資訊安全、法遵、內控、資料治理</x:v>
      </x:c>
      <x:c r="F119" s="37" t="str">
        <x:v>CISO、AI 治理主管、資安分析師、稽核人員</x:v>
      </x:c>
      <x:c r="G119" s="37" t="str">
        <x:v>現行作法對「彙整用途、品質、事件與控制成對外報告」多靠人工彙整、個人經驗或事後處理，難以一致追蹤，造成決策延遲與重工。</x:v>
      </x:c>
      <x:c r="H119" s="37" t="str">
        <x:v>資料／事件接入；彙整用途、品質、事件與控制成對外報告；證據與信心呈現；例外分流與人工覆核；提升客戶信任成效追蹤；完整稽核軌跡</x:v>
      </x:c>
      <x:c r="I119" s="37" t="str">
        <x:v>RAG 檢索與來源引用；規則＋模型混合判斷；矛盾檢查；專門模型焦點：彙整用途、品質、事件與控制成對外報告</x:v>
      </x:c>
      <x:c r="J119" s="37" t="str">
        <x:v>與多個專業 Agent 協作拆解任務，保留交接證據、逾時升級並在失敗時安全回滾</x:v>
      </x:c>
      <x:c r="K119" s="37" t="str">
        <x:v>L2 建議／需核准</x:v>
      </x:c>
      <x:c r="L119" s="37" t="str">
        <x:v>AI 流量、敏感資料標籤、模型清單、資安事件、政策、供應商資料</x:v>
      </x:c>
      <x:c r="M119" s="37" t="str">
        <x:v>DLP、CASB、SIEM、IAM、LLM Gateway、EDR、GRC</x:v>
      </x:c>
      <x:c r="N119" s="37" t="str">
        <x:v>員工與系統大量使用外部 AI，企業需看見、限制並證明每次使用符合政策。Demo：匯入一組去識別資料，觸發「彙整用途、品質、事件與控制成對外報告」，由系統提出證據、建議與下一步；使用者核准後回寫任務，最後呈現「提升客戶信任」前後差異。</x:v>
      </x:c>
      <x:c r="O119" s="37" t="str">
        <x:v>中低</x:v>
      </x:c>
      <x:c r="P119" s="37" t="str">
        <x:v>鄰近既有能力：原有資安多涵蓋 IT/OT，未必涵蓋生成式 AI 與自主 Agent 的新型風險。本 App 的獨立邊界是「彙整用途、品質、事件與控制成對外報告」，主要產出為「提升客戶信任」，不是一般登錄、查詢或看板。</x:v>
      </x:c>
      <x:c r="Q119" s="38" t="n">
        <x:v>5</x:v>
      </x:c>
      <x:c r="R119" s="38" t="n">
        <x:v>5</x:v>
      </x:c>
      <x:c r="S119" s="38" t="str">
        <x:v>P0</x:v>
      </x:c>
      <x:c r="T119" s="38" t="n">
        <x:v>10</x:v>
      </x:c>
      <x:c r="U119" s="39" t="str">
        <x:v>Wave 1 平台底座／旗艦</x:v>
      </x:c>
    </x:row>
    <x:row r="120" ht="86" customHeight="1">
      <x:c r="A120" s="36" t="str">
        <x:v>JV-116</x:v>
      </x:c>
      <x:c r="B120" s="37" t="str">
        <x:v>AI 專利前案獵人</x:v>
      </x:c>
      <x:c r="C120" s="37" t="str">
        <x:v>法務／專利／合規</x:v>
      </x:c>
      <x:c r="D120" s="37" t="str">
        <x:v>專利情報</x:v>
      </x:c>
      <x:c r="E120" s="37" t="str">
        <x:v>法務、智財、法遵、研發、董事會</x:v>
      </x:c>
      <x:c r="F120" s="37" t="str">
        <x:v>法務主管、專利工程師、法遵人員、公司治理人員</x:v>
      </x:c>
      <x:c r="G120" s="37" t="str">
        <x:v>現行作法對「以技術特徵與語意跨語言搜尋前案」多靠人工彙整、個人經驗或事後處理，難以一致追蹤，造成決策延遲與重工。</x:v>
      </x:c>
      <x:c r="H120" s="37" t="str">
        <x:v>資料／事件接入；以技術特徵與語意跨語言搜尋前案；證據與信心呈現；例外分流與人工覆核；提高檢索召回率成效追蹤；完整稽核軌跡</x:v>
      </x:c>
      <x:c r="I120" s="37" t="str">
        <x:v>語意分類與實體抽取；風險／信心評分；具證據的生成與摘要；專門模型焦點：以技術特徵與語意跨語言搜尋前案</x:v>
      </x:c>
      <x:c r="J120" s="37" t="str">
        <x:v>持續監測事件，達門檻後建立案件、蒐集證據、指派責任並追蹤結案；高風險動作需人工核准</x:v>
      </x:c>
      <x:c r="K120" s="37" t="str">
        <x:v>L3 可執行／關鍵核准</x:v>
      </x:c>
      <x:c r="L120" s="37" t="str">
        <x:v>法規、合約、專利、產品規格、案件、義務、訴訟與董事會資料</x:v>
      </x:c>
      <x:c r="M120" s="37" t="str">
        <x:v>CLM、DMS、PLM、研發管理、ERP、法院與法規資料源</x:v>
      </x:c>
      <x:c r="N120" s="37" t="str">
        <x:v>跨國企業面對法規變更、專利布局與大量合約義務，需要從發現一路追到完成。Demo：匯入一組去識別資料，觸發「以技術特徵與語意跨語言搜尋前案」，由系統提出證據、建議與下一步；使用者核准後回寫任務，最後呈現「提高檢索召回率」前後差異。</x:v>
      </x:c>
      <x:c r="O120" s="37" t="str">
        <x:v>中低</x:v>
      </x:c>
      <x:c r="P120" s="37" t="str">
        <x:v>鄰近既有能力：原有可能有合約或法規模組；本群聚焦持續監測、證據分析與可執行義務閉環。本 App 的獨立邊界是「以技術特徵與語意跨語言搜尋前案」，主要產出為「提高檢索召回率」，不是一般登錄、查詢或看板。</x:v>
      </x:c>
      <x:c r="Q120" s="38" t="n">
        <x:v>5</x:v>
      </x:c>
      <x:c r="R120" s="38" t="n">
        <x:v>3</x:v>
      </x:c>
      <x:c r="S120" s="38" t="str">
        <x:v>P1</x:v>
      </x:c>
      <x:c r="T120" s="38" t="n">
        <x:v>7</x:v>
      </x:c>
      <x:c r="U120" s="39" t="str">
        <x:v>Wave 2 高價值套件</x:v>
      </x:c>
    </x:row>
    <x:row r="121" ht="86" customHeight="1">
      <x:c r="A121" s="36" t="str">
        <x:v>JV-117</x:v>
      </x:c>
      <x:c r="B121" s="37" t="str">
        <x:v>可專利性論證助手</x:v>
      </x:c>
      <x:c r="C121" s="37" t="str">
        <x:v>法務／專利／合規</x:v>
      </x:c>
      <x:c r="D121" s="37" t="str">
        <x:v>專利情報</x:v>
      </x:c>
      <x:c r="E121" s="37" t="str">
        <x:v>法務、智財、法遵、研發、董事會</x:v>
      </x:c>
      <x:c r="F121" s="37" t="str">
        <x:v>法務主管、專利工程師、法遵人員、公司治理人員</x:v>
      </x:c>
      <x:c r="G121" s="37" t="str">
        <x:v>現行作法對「把請求項特徵與前案逐項比對並形成論證」多靠人工彙整、個人經驗或事後處理，難以一致追蹤，造成決策延遲與重工。</x:v>
      </x:c>
      <x:c r="H121" s="37" t="str">
        <x:v>資料／事件接入；把請求項特徵與前案逐項比對並形成論證；證據與信心呈現；例外分流與人工覆核；加速申請決策成效追蹤；完整稽核軌跡</x:v>
      </x:c>
      <x:c r="I121" s="37" t="str">
        <x:v>預測與情境模擬；多目標最佳化；不確定性呈現；專門模型焦點：把請求項特徵與前案逐項比對並形成論證</x:v>
      </x:c>
      <x:c r="J121" s="37" t="str">
        <x:v>定期掃描資料與外部訊號，提出優先序與建議；經核准後同步任務與更新來源系統</x:v>
      </x:c>
      <x:c r="K121" s="37" t="str">
        <x:v>L3 可執行／關鍵核准</x:v>
      </x:c>
      <x:c r="L121" s="37" t="str">
        <x:v>法規、合約、專利、產品規格、案件、義務、訴訟與董事會資料</x:v>
      </x:c>
      <x:c r="M121" s="37" t="str">
        <x:v>CLM、DMS、PLM、研發管理、ERP、法院與法規資料源</x:v>
      </x:c>
      <x:c r="N121" s="37" t="str">
        <x:v>跨國企業面對法規變更、專利布局與大量合約義務，需要從發現一路追到完成。Demo：匯入一組去識別資料，觸發「把請求項特徵與前案逐項比對並形成論證」，由系統提出證據、建議與下一步；使用者核准後回寫任務，最後呈現「加速申請決策」前後差異。</x:v>
      </x:c>
      <x:c r="O121" s="37" t="str">
        <x:v>低</x:v>
      </x:c>
      <x:c r="P121" s="37" t="str">
        <x:v>鄰近既有能力：原有可能有合約或法規模組；本群聚焦持續監測、證據分析與可執行義務閉環。本 App 的獨立邊界是「把請求項特徵與前案逐項比對並形成論證」，主要產出為「加速申請決策」，不是一般登錄、查詢或看板。</x:v>
      </x:c>
      <x:c r="Q121" s="38" t="n">
        <x:v>5</x:v>
      </x:c>
      <x:c r="R121" s="38" t="n">
        <x:v>4</x:v>
      </x:c>
      <x:c r="S121" s="38" t="str">
        <x:v>P1</x:v>
      </x:c>
      <x:c r="T121" s="38" t="n">
        <x:v>9</x:v>
      </x:c>
      <x:c r="U121" s="39" t="str">
        <x:v>Wave 2 高價值套件</x:v>
      </x:c>
    </x:row>
    <x:row r="122" ht="86" customHeight="1">
      <x:c r="A122" s="36" t="str">
        <x:v>JV-118</x:v>
      </x:c>
      <x:c r="B122" s="37" t="str">
        <x:v>專利地圖空白區分析器</x:v>
      </x:c>
      <x:c r="C122" s="37" t="str">
        <x:v>法務／專利／合規</x:v>
      </x:c>
      <x:c r="D122" s="37" t="str">
        <x:v>專利情報</x:v>
      </x:c>
      <x:c r="E122" s="37" t="str">
        <x:v>法務、智財、法遵、研發、董事會</x:v>
      </x:c>
      <x:c r="F122" s="37" t="str">
        <x:v>法務主管、專利工程師、法遵人員、公司治理人員</x:v>
      </x:c>
      <x:c r="G122" s="37" t="str">
        <x:v>現行作法對「以技術、申請人與時間找出布局空白」多靠人工彙整、個人經驗或事後處理，難以一致追蹤，造成決策延遲與重工。</x:v>
      </x:c>
      <x:c r="H122" s="37" t="str">
        <x:v>資料／事件接入；以技術、申請人與時間找出布局空白；證據與信心呈現；例外分流與人工覆核；支援研發選題成效追蹤；完整稽核軌跡</x:v>
      </x:c>
      <x:c r="I122" s="37" t="str">
        <x:v>跨文件／跨系統比對；圖譜推理；差異與缺口生成；專門模型焦點：以技術、申請人與時間找出布局空白</x:v>
      </x:c>
      <x:c r="J122" s="37" t="str">
        <x:v>以人機協作模式先產生草案與證據包，接受修改後執行核准步驟並建立完整稽核軌跡</x:v>
      </x:c>
      <x:c r="K122" s="37" t="str">
        <x:v>L3 可執行／關鍵核准</x:v>
      </x:c>
      <x:c r="L122" s="37" t="str">
        <x:v>法規、合約、專利、產品規格、案件、義務、訴訟與董事會資料</x:v>
      </x:c>
      <x:c r="M122" s="37" t="str">
        <x:v>CLM、DMS、PLM、研發管理、ERP、法院與法規資料源</x:v>
      </x:c>
      <x:c r="N122" s="37" t="str">
        <x:v>跨國企業面對法規變更、專利布局與大量合約義務，需要從發現一路追到完成。Demo：匯入一組去識別資料，觸發「以技術、申請人與時間找出布局空白」，由系統提出證據、建議與下一步；使用者核准後回寫任務，最後呈現「支援研發選題」前後差異。</x:v>
      </x:c>
      <x:c r="O122" s="37" t="str">
        <x:v>低</x:v>
      </x:c>
      <x:c r="P122" s="37" t="str">
        <x:v>鄰近既有能力：原有可能有合約或法規模組；本群聚焦持續監測、證據分析與可執行義務閉環。本 App 的獨立邊界是「以技術、申請人與時間找出布局空白」，主要產出為「支援研發選題」，不是一般登錄、查詢或看板。</x:v>
      </x:c>
      <x:c r="Q122" s="38" t="n">
        <x:v>5</x:v>
      </x:c>
      <x:c r="R122" s="38" t="n">
        <x:v>4</x:v>
      </x:c>
      <x:c r="S122" s="38" t="str">
        <x:v>P1</x:v>
      </x:c>
      <x:c r="T122" s="38" t="n">
        <x:v>9</x:v>
      </x:c>
      <x:c r="U122" s="39" t="str">
        <x:v>Wave 2 高價值套件</x:v>
      </x:c>
    </x:row>
    <x:row r="123" ht="86" customHeight="1">
      <x:c r="A123" s="36" t="str">
        <x:v>JV-119</x:v>
      </x:c>
      <x:c r="B123" s="37" t="str">
        <x:v>競品專利動向哨兵</x:v>
      </x:c>
      <x:c r="C123" s="37" t="str">
        <x:v>法務／專利／合規</x:v>
      </x:c>
      <x:c r="D123" s="37" t="str">
        <x:v>專利情報</x:v>
      </x:c>
      <x:c r="E123" s="37" t="str">
        <x:v>法務、智財、法遵、研發、董事會</x:v>
      </x:c>
      <x:c r="F123" s="37" t="str">
        <x:v>法務主管、專利工程師、法遵人員、公司治理人員</x:v>
      </x:c>
      <x:c r="G123" s="37" t="str">
        <x:v>現行作法對「追蹤競品新案、家族、審查與權利狀態」多靠人工彙整、個人經驗或事後處理，難以一致追蹤，造成決策延遲與重工。</x:v>
      </x:c>
      <x:c r="H123" s="37" t="str">
        <x:v>資料／事件接入；追蹤競品新案、家族、審查與權利狀態；證據與信心呈現；例外分流與人工覆核；提早發現威脅成效追蹤；完整稽核軌跡</x:v>
      </x:c>
      <x:c r="I123" s="37" t="str">
        <x:v>異常偵測；因果線索分析；可解釋的建議排序；專門模型焦點：追蹤競品新案、家族、審查與權利狀態</x:v>
      </x:c>
      <x:c r="J123" s="37" t="str">
        <x:v>依目標自主規劃步驟、呼叫核准工具、遇到例外改走人工佇列，完成後驗證結果並回報</x:v>
      </x:c>
      <x:c r="K123" s="37" t="str">
        <x:v>L3 可執行／關鍵核准</x:v>
      </x:c>
      <x:c r="L123" s="37" t="str">
        <x:v>法規、合約、專利、產品規格、案件、義務、訴訟與董事會資料</x:v>
      </x:c>
      <x:c r="M123" s="37" t="str">
        <x:v>CLM、DMS、PLM、研發管理、ERP、法院與法規資料源</x:v>
      </x:c>
      <x:c r="N123" s="37" t="str">
        <x:v>跨國企業面對法規變更、專利布局與大量合約義務，需要從發現一路追到完成。Demo：匯入一組去識別資料，觸發「追蹤競品新案、家族、審查與權利狀態」，由系統提出證據、建議與下一步；使用者核准後回寫任務，最後呈現「提早發現威脅」前後差異。</x:v>
      </x:c>
      <x:c r="O123" s="37" t="str">
        <x:v>低</x:v>
      </x:c>
      <x:c r="P123" s="37" t="str">
        <x:v>鄰近既有能力：原有可能有合約或法規模組；本群聚焦持續監測、證據分析與可執行義務閉環。本 App 的獨立邊界是「追蹤競品新案、家族、審查與權利狀態」，主要產出為「提早發現威脅」，不是一般登錄、查詢或看板。</x:v>
      </x:c>
      <x:c r="Q123" s="38" t="n">
        <x:v>4</x:v>
      </x:c>
      <x:c r="R123" s="38" t="n">
        <x:v>4</x:v>
      </x:c>
      <x:c r="S123" s="38" t="str">
        <x:v>P1</x:v>
      </x:c>
      <x:c r="T123" s="38" t="n">
        <x:v>9</x:v>
      </x:c>
      <x:c r="U123" s="39" t="str">
        <x:v>Wave 2 高價值套件</x:v>
      </x:c>
    </x:row>
    <x:row r="124" ht="86" customHeight="1">
      <x:c r="A124" s="36" t="str">
        <x:v>JV-120</x:v>
      </x:c>
      <x:c r="B124" s="37" t="str">
        <x:v>專利引證網路探索器</x:v>
      </x:c>
      <x:c r="C124" s="37" t="str">
        <x:v>法務／專利／合規</x:v>
      </x:c>
      <x:c r="D124" s="37" t="str">
        <x:v>專利情報</x:v>
      </x:c>
      <x:c r="E124" s="37" t="str">
        <x:v>法務、智財、法遵、研發、董事會</x:v>
      </x:c>
      <x:c r="F124" s="37" t="str">
        <x:v>法務主管、專利工程師、法遵人員、公司治理人員</x:v>
      </x:c>
      <x:c r="G124" s="37" t="str">
        <x:v>現行作法對「分析前後向引證與關鍵樞紐專利」多靠人工彙整、個人經驗或事後處理，難以一致追蹤，造成決策延遲與重工。</x:v>
      </x:c>
      <x:c r="H124" s="37" t="str">
        <x:v>資料／事件接入；分析前後向引證與關鍵樞紐專利；證據與信心呈現；例外分流與人工覆核；辨識核心技術成效追蹤；完整稽核軌跡</x:v>
      </x:c>
      <x:c r="I124" s="37" t="str">
        <x:v>RAG 檢索與來源引用；規則＋模型混合判斷；矛盾檢查；專門模型焦點：分析前後向引證與關鍵樞紐專利</x:v>
      </x:c>
      <x:c r="J124" s="37" t="str">
        <x:v>與多個專業 Agent 協作拆解任務，保留交接證據、逾時升級並在失敗時安全回滾</x:v>
      </x:c>
      <x:c r="K124" s="37" t="str">
        <x:v>L2 建議／需核准</x:v>
      </x:c>
      <x:c r="L124" s="37" t="str">
        <x:v>法規、合約、專利、產品規格、案件、義務、訴訟與董事會資料</x:v>
      </x:c>
      <x:c r="M124" s="37" t="str">
        <x:v>CLM、DMS、PLM、研發管理、ERP、法院與法規資料源</x:v>
      </x:c>
      <x:c r="N124" s="37" t="str">
        <x:v>跨國企業面對法規變更、專利布局與大量合約義務，需要從發現一路追到完成。Demo：匯入一組去識別資料，觸發「分析前後向引證與關鍵樞紐專利」，由系統提出證據、建議與下一步；使用者核准後回寫任務，最後呈現「辨識核心技術」前後差異。</x:v>
      </x:c>
      <x:c r="O124" s="37" t="str">
        <x:v>中低</x:v>
      </x:c>
      <x:c r="P124" s="37" t="str">
        <x:v>鄰近既有能力：原有可能有合約或法規模組；本群聚焦持續監測、證據分析與可執行義務閉環。本 App 的獨立邊界是「分析前後向引證與關鍵樞紐專利」，主要產出為「辨識核心技術」，不是一般登錄、查詢或看板。</x:v>
      </x:c>
      <x:c r="Q124" s="38" t="n">
        <x:v>5</x:v>
      </x:c>
      <x:c r="R124" s="38" t="n">
        <x:v>5</x:v>
      </x:c>
      <x:c r="S124" s="38" t="str">
        <x:v>P1</x:v>
      </x:c>
      <x:c r="T124" s="38" t="n">
        <x:v>11</x:v>
      </x:c>
      <x:c r="U124" s="39" t="str">
        <x:v>Wave 2 高價值套件</x:v>
      </x:c>
    </x:row>
    <x:row r="125" ht="86" customHeight="1">
      <x:c r="A125" s="36" t="str">
        <x:v>JV-121</x:v>
      </x:c>
      <x:c r="B125" s="37" t="str">
        <x:v>FTO 特徵比對台</x:v>
      </x:c>
      <x:c r="C125" s="37" t="str">
        <x:v>法務／專利／合規</x:v>
      </x:c>
      <x:c r="D125" s="37" t="str">
        <x:v>侵權與 FTO</x:v>
      </x:c>
      <x:c r="E125" s="37" t="str">
        <x:v>法務、智財、法遵、研發、董事會</x:v>
      </x:c>
      <x:c r="F125" s="37" t="str">
        <x:v>法務主管、專利工程師、法遵人員、公司治理人員</x:v>
      </x:c>
      <x:c r="G125" s="37" t="str">
        <x:v>現行作法對「把產品 BOM、規格與有效請求項對照」多靠人工彙整、個人經驗或事後處理，難以一致追蹤，造成決策延遲與重工。</x:v>
      </x:c>
      <x:c r="H125" s="37" t="str">
        <x:v>資料／事件接入；把產品 BOM、規格與有效請求項對照；證據與信心呈現；例外分流與人工覆核；支援上市前風險判斷成效追蹤；完整稽核軌跡</x:v>
      </x:c>
      <x:c r="I125" s="37" t="str">
        <x:v>語意分類與實體抽取；風險／信心評分；具證據的生成與摘要；專門模型焦點：把產品 BOM、規格與有效請求項對照</x:v>
      </x:c>
      <x:c r="J125" s="37" t="str">
        <x:v>持續監測事件，達門檻後建立案件、蒐集證據、指派責任並追蹤結案；高風險動作需人工核准</x:v>
      </x:c>
      <x:c r="K125" s="37" t="str">
        <x:v>L3 可執行／關鍵核准</x:v>
      </x:c>
      <x:c r="L125" s="37" t="str">
        <x:v>法規、合約、專利、產品規格、案件、義務、訴訟與董事會資料</x:v>
      </x:c>
      <x:c r="M125" s="37" t="str">
        <x:v>CLM、DMS、PLM、研發管理、ERP、法院與法規資料源</x:v>
      </x:c>
      <x:c r="N125" s="37" t="str">
        <x:v>跨國企業面對法規變更、專利布局與大量合約義務，需要從發現一路追到完成。Demo：匯入一組去識別資料，觸發「把產品 BOM、規格與有效請求項對照」，由系統提出證據、建議與下一步；使用者核准後回寫任務，最後呈現「支援上市前風險判斷」前後差異。</x:v>
      </x:c>
      <x:c r="O125" s="37" t="str">
        <x:v>中低</x:v>
      </x:c>
      <x:c r="P125" s="37" t="str">
        <x:v>鄰近既有能力：原有可能有合約或法規模組；本群聚焦持續監測、證據分析與可執行義務閉環。本 App 的獨立邊界是「把產品 BOM、規格與有效請求項對照」，主要產出為「支援上市前風險判斷」，不是一般登錄、查詢或看板。</x:v>
      </x:c>
      <x:c r="Q125" s="38" t="n">
        <x:v>5</x:v>
      </x:c>
      <x:c r="R125" s="38" t="n">
        <x:v>3</x:v>
      </x:c>
      <x:c r="S125" s="38" t="str">
        <x:v>P1</x:v>
      </x:c>
      <x:c r="T125" s="38" t="n">
        <x:v>7</x:v>
      </x:c>
      <x:c r="U125" s="39" t="str">
        <x:v>Wave 2 高價值套件</x:v>
      </x:c>
    </x:row>
    <x:row r="126" ht="86" customHeight="1">
      <x:c r="A126" s="36" t="str">
        <x:v>JV-122</x:v>
      </x:c>
      <x:c r="B126" s="37" t="str">
        <x:v>請求項元素圖產生器</x:v>
      </x:c>
      <x:c r="C126" s="37" t="str">
        <x:v>法務／專利／合規</x:v>
      </x:c>
      <x:c r="D126" s="37" t="str">
        <x:v>侵權與 FTO</x:v>
      </x:c>
      <x:c r="E126" s="37" t="str">
        <x:v>法務、智財、法遵、研發、董事會</x:v>
      </x:c>
      <x:c r="F126" s="37" t="str">
        <x:v>法務主管、專利工程師、法遵人員、公司治理人員</x:v>
      </x:c>
      <x:c r="G126" s="37" t="str">
        <x:v>現行作法對「自動建立 claim chart 並連結產品證據」多靠人工彙整、個人經驗或事後處理，難以一致追蹤，造成決策延遲與重工。</x:v>
      </x:c>
      <x:c r="H126" s="37" t="str">
        <x:v>資料／事件接入；自動建立 claim chart 並連結產品證據；證據與信心呈現；例外分流與人工覆核；縮短侵權分析成效追蹤；完整稽核軌跡</x:v>
      </x:c>
      <x:c r="I126" s="37" t="str">
        <x:v>預測與情境模擬；多目標最佳化；不確定性呈現；專門模型焦點：自動建立 claim chart 並連結產品證據</x:v>
      </x:c>
      <x:c r="J126" s="37" t="str">
        <x:v>定期掃描資料與外部訊號，提出優先序與建議；經核准後同步任務與更新來源系統</x:v>
      </x:c>
      <x:c r="K126" s="37" t="str">
        <x:v>L3 可執行／關鍵核准</x:v>
      </x:c>
      <x:c r="L126" s="37" t="str">
        <x:v>法規、合約、專利、產品規格、案件、義務、訴訟與董事會資料</x:v>
      </x:c>
      <x:c r="M126" s="37" t="str">
        <x:v>CLM、DMS、PLM、研發管理、ERP、法院與法規資料源</x:v>
      </x:c>
      <x:c r="N126" s="37" t="str">
        <x:v>跨國企業面對法規變更、專利布局與大量合約義務，需要從發現一路追到完成。Demo：匯入一組去識別資料，觸發「自動建立 claim chart 並連結產品證據」，由系統提出證據、建議與下一步；使用者核准後回寫任務，最後呈現「縮短侵權分析」前後差異。</x:v>
      </x:c>
      <x:c r="O126" s="37" t="str">
        <x:v>低</x:v>
      </x:c>
      <x:c r="P126" s="37" t="str">
        <x:v>鄰近既有能力：原有可能有合約或法規模組；本群聚焦持續監測、證據分析與可執行義務閉環。本 App 的獨立邊界是「自動建立 claim chart 並連結產品證據」，主要產出為「縮短侵權分析」，不是一般登錄、查詢或看板。</x:v>
      </x:c>
      <x:c r="Q126" s="38" t="n">
        <x:v>5</x:v>
      </x:c>
      <x:c r="R126" s="38" t="n">
        <x:v>4</x:v>
      </x:c>
      <x:c r="S126" s="38" t="str">
        <x:v>P1</x:v>
      </x:c>
      <x:c r="T126" s="38" t="n">
        <x:v>9</x:v>
      </x:c>
      <x:c r="U126" s="39" t="str">
        <x:v>Wave 2 高價值套件</x:v>
      </x:c>
    </x:row>
    <x:row r="127" ht="86" customHeight="1">
      <x:c r="A127" s="36" t="str">
        <x:v>JV-123</x:v>
      </x:c>
      <x:c r="B127" s="37" t="str">
        <x:v>專利地域效力檢查器</x:v>
      </x:c>
      <x:c r="C127" s="37" t="str">
        <x:v>法務／專利／合規</x:v>
      </x:c>
      <x:c r="D127" s="37" t="str">
        <x:v>侵權與 FTO</x:v>
      </x:c>
      <x:c r="E127" s="37" t="str">
        <x:v>法務、智財、法遵、研發、董事會</x:v>
      </x:c>
      <x:c r="F127" s="37" t="str">
        <x:v>法務主管、專利工程師、法遵人員、公司治理人員</x:v>
      </x:c>
      <x:c r="G127" s="37" t="str">
        <x:v>現行作法對「按銷售、製造與進口地檢查權利有效範圍」多靠人工彙整、個人經驗或事後處理，難以一致追蹤，造成決策延遲與重工。</x:v>
      </x:c>
      <x:c r="H127" s="37" t="str">
        <x:v>資料／事件接入；按銷售、製造與進口地檢查權利有效範圍；證據與信心呈現；例外分流與人工覆核；避免地域誤判成效追蹤；完整稽核軌跡</x:v>
      </x:c>
      <x:c r="I127" s="37" t="str">
        <x:v>跨文件／跨系統比對；圖譜推理；差異與缺口生成；專門模型焦點：按銷售、製造與進口地檢查權利有效範圍</x:v>
      </x:c>
      <x:c r="J127" s="37" t="str">
        <x:v>以人機協作模式先產生草案與證據包，接受修改後執行核准步驟並建立完整稽核軌跡</x:v>
      </x:c>
      <x:c r="K127" s="37" t="str">
        <x:v>L3 可執行／關鍵核准</x:v>
      </x:c>
      <x:c r="L127" s="37" t="str">
        <x:v>法規、合約、專利、產品規格、案件、義務、訴訟與董事會資料</x:v>
      </x:c>
      <x:c r="M127" s="37" t="str">
        <x:v>CLM、DMS、PLM、研發管理、ERP、法院與法規資料源</x:v>
      </x:c>
      <x:c r="N127" s="37" t="str">
        <x:v>跨國企業面對法規變更、專利布局與大量合約義務，需要從發現一路追到完成。Demo：匯入一組去識別資料，觸發「按銷售、製造與進口地檢查權利有效範圍」，由系統提出證據、建議與下一步；使用者核准後回寫任務，最後呈現「避免地域誤判」前後差異。</x:v>
      </x:c>
      <x:c r="O127" s="37" t="str">
        <x:v>低</x:v>
      </x:c>
      <x:c r="P127" s="37" t="str">
        <x:v>鄰近既有能力：原有可能有合約或法規模組；本群聚焦持續監測、證據分析與可執行義務閉環。本 App 的獨立邊界是「按銷售、製造與進口地檢查權利有效範圍」，主要產出為「避免地域誤判」，不是一般登錄、查詢或看板。</x:v>
      </x:c>
      <x:c r="Q127" s="38" t="n">
        <x:v>5</x:v>
      </x:c>
      <x:c r="R127" s="38" t="n">
        <x:v>4</x:v>
      </x:c>
      <x:c r="S127" s="38" t="str">
        <x:v>P1</x:v>
      </x:c>
      <x:c r="T127" s="38" t="n">
        <x:v>9</x:v>
      </x:c>
      <x:c r="U127" s="39" t="str">
        <x:v>Wave 2 高價值套件</x:v>
      </x:c>
    </x:row>
    <x:row r="128" ht="86" customHeight="1">
      <x:c r="A128" s="36" t="str">
        <x:v>JV-124</x:v>
      </x:c>
      <x:c r="B128" s="37" t="str">
        <x:v>設計迴避方案探索器</x:v>
      </x:c>
      <x:c r="C128" s="37" t="str">
        <x:v>法務／專利／合規</x:v>
      </x:c>
      <x:c r="D128" s="37" t="str">
        <x:v>侵權與 FTO</x:v>
      </x:c>
      <x:c r="E128" s="37" t="str">
        <x:v>法務、智財、法遵、研發、董事會</x:v>
      </x:c>
      <x:c r="F128" s="37" t="str">
        <x:v>法務主管、專利工程師、法遵人員、公司治理人員</x:v>
      </x:c>
      <x:c r="G128" s="37" t="str">
        <x:v>現行作法對「針對高風險元素提出替代技術路徑」多靠人工彙整、個人經驗或事後處理，難以一致追蹤，造成決策延遲與重工。</x:v>
      </x:c>
      <x:c r="H128" s="37" t="str">
        <x:v>資料／事件接入；針對高風險元素提出替代技術路徑；證據與信心呈現；例外分流與人工覆核；降低侵權風險成效追蹤；完整稽核軌跡</x:v>
      </x:c>
      <x:c r="I128" s="37" t="str">
        <x:v>異常偵測；因果線索分析；可解釋的建議排序；專門模型焦點：針對高風險元素提出替代技術路徑</x:v>
      </x:c>
      <x:c r="J128" s="37" t="str">
        <x:v>依目標自主規劃步驟、呼叫核准工具、遇到例外改走人工佇列，完成後驗證結果並回報</x:v>
      </x:c>
      <x:c r="K128" s="37" t="str">
        <x:v>L3 可執行／關鍵核准</x:v>
      </x:c>
      <x:c r="L128" s="37" t="str">
        <x:v>法規、合約、專利、產品規格、案件、義務、訴訟與董事會資料</x:v>
      </x:c>
      <x:c r="M128" s="37" t="str">
        <x:v>CLM、DMS、PLM、研發管理、ERP、法院與法規資料源</x:v>
      </x:c>
      <x:c r="N128" s="37" t="str">
        <x:v>跨國企業面對法規變更、專利布局與大量合約義務，需要從發現一路追到完成。Demo：匯入一組去識別資料，觸發「針對高風險元素提出替代技術路徑」，由系統提出證據、建議與下一步；使用者核准後回寫任務，最後呈現「降低侵權風險」前後差異。</x:v>
      </x:c>
      <x:c r="O128" s="37" t="str">
        <x:v>低</x:v>
      </x:c>
      <x:c r="P128" s="37" t="str">
        <x:v>鄰近既有能力：原有可能有合約或法規模組；本群聚焦持續監測、證據分析與可執行義務閉環。本 App 的獨立邊界是「針對高風險元素提出替代技術路徑」，主要產出為「降低侵權風險」，不是一般登錄、查詢或看板。</x:v>
      </x:c>
      <x:c r="Q128" s="38" t="n">
        <x:v>5</x:v>
      </x:c>
      <x:c r="R128" s="38" t="n">
        <x:v>4</x:v>
      </x:c>
      <x:c r="S128" s="38" t="str">
        <x:v>P1</x:v>
      </x:c>
      <x:c r="T128" s="38" t="n">
        <x:v>9</x:v>
      </x:c>
      <x:c r="U128" s="39" t="str">
        <x:v>Wave 2 高價值套件</x:v>
      </x:c>
    </x:row>
    <x:row r="129" ht="86" customHeight="1">
      <x:c r="A129" s="36" t="str">
        <x:v>JV-125</x:v>
      </x:c>
      <x:c r="B129" s="37" t="str">
        <x:v>專利無效證據組合器</x:v>
      </x:c>
      <x:c r="C129" s="37" t="str">
        <x:v>法務／專利／合規</x:v>
      </x:c>
      <x:c r="D129" s="37" t="str">
        <x:v>侵權與 FTO</x:v>
      </x:c>
      <x:c r="E129" s="37" t="str">
        <x:v>法務、智財、法遵、研發、董事會</x:v>
      </x:c>
      <x:c r="F129" s="37" t="str">
        <x:v>法務主管、專利工程師、法遵人員、公司治理人員</x:v>
      </x:c>
      <x:c r="G129" s="37" t="str">
        <x:v>現行作法對「搜尋並組合可攻擊新穎性或進步性的證據」多靠人工彙整、個人經驗或事後處理，難以一致追蹤，造成決策延遲與重工。</x:v>
      </x:c>
      <x:c r="H129" s="37" t="str">
        <x:v>資料／事件接入；搜尋並組合可攻擊新穎性或進步性的證據；證據與信心呈現；例外分流與人工覆核；支援爭議策略成效追蹤；完整稽核軌跡</x:v>
      </x:c>
      <x:c r="I129" s="37" t="str">
        <x:v>RAG 檢索與來源引用；規則＋模型混合判斷；矛盾檢查；專門模型焦點：搜尋並組合可攻擊新穎性或進步性的證據</x:v>
      </x:c>
      <x:c r="J129" s="37" t="str">
        <x:v>與多個專業 Agent 協作拆解任務，保留交接證據、逾時升級並在失敗時安全回滾</x:v>
      </x:c>
      <x:c r="K129" s="37" t="str">
        <x:v>L2 建議／需核准</x:v>
      </x:c>
      <x:c r="L129" s="37" t="str">
        <x:v>法規、合約、專利、產品規格、案件、義務、訴訟與董事會資料</x:v>
      </x:c>
      <x:c r="M129" s="37" t="str">
        <x:v>CLM、DMS、PLM、研發管理、ERP、法院與法規資料源</x:v>
      </x:c>
      <x:c r="N129" s="37" t="str">
        <x:v>跨國企業面對法規變更、專利布局與大量合約義務，需要從發現一路追到完成。Demo：匯入一組去識別資料，觸發「搜尋並組合可攻擊新穎性或進步性的證據」，由系統提出證據、建議與下一步；使用者核准後回寫任務，最後呈現「支援爭議策略」前後差異。</x:v>
      </x:c>
      <x:c r="O129" s="37" t="str">
        <x:v>中低</x:v>
      </x:c>
      <x:c r="P129" s="37" t="str">
        <x:v>鄰近既有能力：原有可能有合約或法規模組；本群聚焦持續監測、證據分析與可執行義務閉環。本 App 的獨立邊界是「搜尋並組合可攻擊新穎性或進步性的證據」，主要產出為「支援爭議策略」，不是一般登錄、查詢或看板。</x:v>
      </x:c>
      <x:c r="Q129" s="38" t="n">
        <x:v>4</x:v>
      </x:c>
      <x:c r="R129" s="38" t="n">
        <x:v>5</x:v>
      </x:c>
      <x:c r="S129" s="38" t="str">
        <x:v>P1</x:v>
      </x:c>
      <x:c r="T129" s="38" t="n">
        <x:v>11</x:v>
      </x:c>
      <x:c r="U129" s="39" t="str">
        <x:v>Wave 2 高價值套件</x:v>
      </x:c>
    </x:row>
    <x:row r="130" ht="86" customHeight="1">
      <x:c r="A130" s="36" t="str">
        <x:v>JV-126</x:v>
      </x:c>
      <x:c r="B130" s="37" t="str">
        <x:v>AI 法規變更雷達</x:v>
      </x:c>
      <x:c r="C130" s="37" t="str">
        <x:v>法務／專利／合規</x:v>
      </x:c>
      <x:c r="D130" s="37" t="str">
        <x:v>法規雷達</x:v>
      </x:c>
      <x:c r="E130" s="37" t="str">
        <x:v>法務、智財、法遵、研發、董事會</x:v>
      </x:c>
      <x:c r="F130" s="37" t="str">
        <x:v>法務主管、專利工程師、法遵人員、公司治理人員</x:v>
      </x:c>
      <x:c r="G130" s="37" t="str">
        <x:v>現行作法對「持續監測法規、命令、函釋與草案變化」多靠人工彙整、個人經驗或事後處理，難以一致追蹤，造成決策延遲與重工。</x:v>
      </x:c>
      <x:c r="H130" s="37" t="str">
        <x:v>資料／事件接入；持續監測法規、命令、函釋與草案變化；證據與信心呈現；例外分流與人工覆核；縮短知悉落差成效追蹤；完整稽核軌跡</x:v>
      </x:c>
      <x:c r="I130" s="37" t="str">
        <x:v>語意分類與實體抽取；風險／信心評分；具證據的生成與摘要；專門模型焦點：持續監測法規、命令、函釋與草案變化</x:v>
      </x:c>
      <x:c r="J130" s="37" t="str">
        <x:v>持續監測事件，達門檻後建立案件、蒐集證據、指派責任並追蹤結案；高風險動作需人工核准</x:v>
      </x:c>
      <x:c r="K130" s="37" t="str">
        <x:v>L3 可執行／關鍵核准</x:v>
      </x:c>
      <x:c r="L130" s="37" t="str">
        <x:v>法規、合約、專利、產品規格、案件、義務、訴訟與董事會資料</x:v>
      </x:c>
      <x:c r="M130" s="37" t="str">
        <x:v>CLM、DMS、PLM、研發管理、ERP、法院與法規資料源</x:v>
      </x:c>
      <x:c r="N130" s="37" t="str">
        <x:v>跨國企業面對法規變更、專利布局與大量合約義務，需要從發現一路追到完成。Demo：匯入一組去識別資料，觸發「持續監測法規、命令、函釋與草案變化」，由系統提出證據、建議與下一步；使用者核准後回寫任務，最後呈現「縮短知悉落差」前後差異。</x:v>
      </x:c>
      <x:c r="O130" s="37" t="str">
        <x:v>中低</x:v>
      </x:c>
      <x:c r="P130" s="37" t="str">
        <x:v>鄰近既有能力：原有可能有合約或法規模組；本群聚焦持續監測、證據分析與可執行義務閉環。本 App 的獨立邊界是「持續監測法規、命令、函釋與草案變化」，主要產出為「縮短知悉落差」，不是一般登錄、查詢或看板。</x:v>
      </x:c>
      <x:c r="Q130" s="38" t="n">
        <x:v>5</x:v>
      </x:c>
      <x:c r="R130" s="38" t="n">
        <x:v>3</x:v>
      </x:c>
      <x:c r="S130" s="38" t="str">
        <x:v>P1</x:v>
      </x:c>
      <x:c r="T130" s="38" t="n">
        <x:v>7</x:v>
      </x:c>
      <x:c r="U130" s="39" t="str">
        <x:v>Wave 2 高價值套件</x:v>
      </x:c>
    </x:row>
    <x:row r="131" ht="86" customHeight="1">
      <x:c r="A131" s="36" t="str">
        <x:v>JV-127</x:v>
      </x:c>
      <x:c r="B131" s="37" t="str">
        <x:v>法規影響產品映射器</x:v>
      </x:c>
      <x:c r="C131" s="37" t="str">
        <x:v>法務／專利／合規</x:v>
      </x:c>
      <x:c r="D131" s="37" t="str">
        <x:v>法規雷達</x:v>
      </x:c>
      <x:c r="E131" s="37" t="str">
        <x:v>法務、智財、法遵、研發、董事會</x:v>
      </x:c>
      <x:c r="F131" s="37" t="str">
        <x:v>法務主管、專利工程師、法遵人員、公司治理人員</x:v>
      </x:c>
      <x:c r="G131" s="37" t="str">
        <x:v>現行作法對「把變更條文映射到產品、流程、地區與責任人」多靠人工彙整、個人經驗或事後處理，難以一致追蹤，造成決策延遲與重工。</x:v>
      </x:c>
      <x:c r="H131" s="37" t="str">
        <x:v>資料／事件接入；把變更條文映射到產品、流程、地區與責任人；證據與信心呈現；例外分流與人工覆核；快速界定影響成效追蹤；完整稽核軌跡</x:v>
      </x:c>
      <x:c r="I131" s="37" t="str">
        <x:v>預測與情境模擬；多目標最佳化；不確定性呈現；專門模型焦點：把變更條文映射到產品、流程、地區與責任人</x:v>
      </x:c>
      <x:c r="J131" s="37" t="str">
        <x:v>定期掃描資料與外部訊號，提出優先序與建議；經核准後同步任務與更新來源系統</x:v>
      </x:c>
      <x:c r="K131" s="37" t="str">
        <x:v>L3 可執行／關鍵核准</x:v>
      </x:c>
      <x:c r="L131" s="37" t="str">
        <x:v>法規、合約、專利、產品規格、案件、義務、訴訟與董事會資料</x:v>
      </x:c>
      <x:c r="M131" s="37" t="str">
        <x:v>CLM、DMS、PLM、研發管理、ERP、法院與法規資料源</x:v>
      </x:c>
      <x:c r="N131" s="37" t="str">
        <x:v>跨國企業面對法規變更、專利布局與大量合約義務，需要從發現一路追到完成。Demo：匯入一組去識別資料，觸發「把變更條文映射到產品、流程、地區與責任人」，由系統提出證據、建議與下一步；使用者核准後回寫任務，最後呈現「快速界定影響」前後差異。</x:v>
      </x:c>
      <x:c r="O131" s="37" t="str">
        <x:v>低</x:v>
      </x:c>
      <x:c r="P131" s="37" t="str">
        <x:v>鄰近既有能力：原有可能有合約或法規模組；本群聚焦持續監測、證據分析與可執行義務閉環。本 App 的獨立邊界是「把變更條文映射到產品、流程、地區與責任人」，主要產出為「快速界定影響」，不是一般登錄、查詢或看板。</x:v>
      </x:c>
      <x:c r="Q131" s="38" t="n">
        <x:v>5</x:v>
      </x:c>
      <x:c r="R131" s="38" t="n">
        <x:v>4</x:v>
      </x:c>
      <x:c r="S131" s="38" t="str">
        <x:v>P1</x:v>
      </x:c>
      <x:c r="T131" s="38" t="n">
        <x:v>9</x:v>
      </x:c>
      <x:c r="U131" s="39" t="str">
        <x:v>Wave 2 高價值套件</x:v>
      </x:c>
    </x:row>
    <x:row r="132" ht="86" customHeight="1">
      <x:c r="A132" s="36" t="str">
        <x:v>JV-128</x:v>
      </x:c>
      <x:c r="B132" s="37" t="str">
        <x:v>法遵落差任務產生器</x:v>
      </x:c>
      <x:c r="C132" s="37" t="str">
        <x:v>法務／專利／合規</x:v>
      </x:c>
      <x:c r="D132" s="37" t="str">
        <x:v>法規雷達</x:v>
      </x:c>
      <x:c r="E132" s="37" t="str">
        <x:v>法務、智財、法遵、研發、董事會</x:v>
      </x:c>
      <x:c r="F132" s="37" t="str">
        <x:v>法務主管、專利工程師、法遵人員、公司治理人員</x:v>
      </x:c>
      <x:c r="G132" s="37" t="str">
        <x:v>現行作法對「將新義務轉成控制、文件與系統修改任務」多靠人工彙整、個人經驗或事後處理，難以一致追蹤，造成決策延遲與重工。</x:v>
      </x:c>
      <x:c r="H132" s="37" t="str">
        <x:v>資料／事件接入；將新義務轉成控制、文件與系統修改任務；證據與信心呈現；例外分流與人工覆核；形成執行閉環成效追蹤；完整稽核軌跡</x:v>
      </x:c>
      <x:c r="I132" s="37" t="str">
        <x:v>跨文件／跨系統比對；圖譜推理；差異與缺口生成；專門模型焦點：將新義務轉成控制、文件與系統修改任務</x:v>
      </x:c>
      <x:c r="J132" s="37" t="str">
        <x:v>以人機協作模式先產生草案與證據包，接受修改後執行核准步驟並建立完整稽核軌跡</x:v>
      </x:c>
      <x:c r="K132" s="37" t="str">
        <x:v>L3 可執行／關鍵核准</x:v>
      </x:c>
      <x:c r="L132" s="37" t="str">
        <x:v>法規、合約、專利、產品規格、案件、義務、訴訟與董事會資料</x:v>
      </x:c>
      <x:c r="M132" s="37" t="str">
        <x:v>CLM、DMS、PLM、研發管理、ERP、法院與法規資料源</x:v>
      </x:c>
      <x:c r="N132" s="37" t="str">
        <x:v>跨國企業面對法規變更、專利布局與大量合約義務，需要從發現一路追到完成。Demo：匯入一組去識別資料，觸發「將新義務轉成控制、文件與系統修改任務」，由系統提出證據、建議與下一步；使用者核准後回寫任務，最後呈現「形成執行閉環」前後差異。</x:v>
      </x:c>
      <x:c r="O132" s="37" t="str">
        <x:v>低</x:v>
      </x:c>
      <x:c r="P132" s="37" t="str">
        <x:v>鄰近既有能力：原有可能有合約或法規模組；本群聚焦持續監測、證據分析與可執行義務閉環。本 App 的獨立邊界是「將新義務轉成控制、文件與系統修改任務」，主要產出為「形成執行閉環」，不是一般登錄、查詢或看板。</x:v>
      </x:c>
      <x:c r="Q132" s="38" t="n">
        <x:v>5</x:v>
      </x:c>
      <x:c r="R132" s="38" t="n">
        <x:v>4</x:v>
      </x:c>
      <x:c r="S132" s="38" t="str">
        <x:v>P1</x:v>
      </x:c>
      <x:c r="T132" s="38" t="n">
        <x:v>9</x:v>
      </x:c>
      <x:c r="U132" s="39" t="str">
        <x:v>Wave 2 高價值套件</x:v>
      </x:c>
    </x:row>
    <x:row r="133" ht="86" customHeight="1">
      <x:c r="A133" s="36" t="str">
        <x:v>JV-129</x:v>
      </x:c>
      <x:c r="B133" s="37" t="str">
        <x:v>跨國義務比較器</x:v>
      </x:c>
      <x:c r="C133" s="37" t="str">
        <x:v>法務／專利／合規</x:v>
      </x:c>
      <x:c r="D133" s="37" t="str">
        <x:v>法規雷達</x:v>
      </x:c>
      <x:c r="E133" s="37" t="str">
        <x:v>法務、智財、法遵、研發、董事會</x:v>
      </x:c>
      <x:c r="F133" s="37" t="str">
        <x:v>法務主管、專利工程師、法遵人員、公司治理人員</x:v>
      </x:c>
      <x:c r="G133" s="37" t="str">
        <x:v>現行作法對「比較同一議題在不同司法管轄區的差異」多靠人工彙整、個人經驗或事後處理，難以一致追蹤，造成決策延遲與重工。</x:v>
      </x:c>
      <x:c r="H133" s="37" t="str">
        <x:v>資料／事件接入；比較同一議題在不同司法管轄區的差異；證據與信心呈現；例外分流與人工覆核；支援全球產品策略成效追蹤；完整稽核軌跡</x:v>
      </x:c>
      <x:c r="I133" s="37" t="str">
        <x:v>異常偵測；因果線索分析；可解釋的建議排序；專門模型焦點：比較同一議題在不同司法管轄區的差異</x:v>
      </x:c>
      <x:c r="J133" s="37" t="str">
        <x:v>依目標自主規劃步驟、呼叫核准工具、遇到例外改走人工佇列，完成後驗證結果並回報</x:v>
      </x:c>
      <x:c r="K133" s="37" t="str">
        <x:v>L3 可執行／關鍵核准</x:v>
      </x:c>
      <x:c r="L133" s="37" t="str">
        <x:v>法規、合約、專利、產品規格、案件、義務、訴訟與董事會資料</x:v>
      </x:c>
      <x:c r="M133" s="37" t="str">
        <x:v>CLM、DMS、PLM、研發管理、ERP、法院與法規資料源</x:v>
      </x:c>
      <x:c r="N133" s="37" t="str">
        <x:v>跨國企業面對法規變更、專利布局與大量合約義務，需要從發現一路追到完成。Demo：匯入一組去識別資料，觸發「比較同一議題在不同司法管轄區的差異」，由系統提出證據、建議與下一步；使用者核准後回寫任務，最後呈現「支援全球產品策略」前後差異。</x:v>
      </x:c>
      <x:c r="O133" s="37" t="str">
        <x:v>低</x:v>
      </x:c>
      <x:c r="P133" s="37" t="str">
        <x:v>鄰近既有能力：原有可能有合約或法規模組；本群聚焦持續監測、證據分析與可執行義務閉環。本 App 的獨立邊界是「比較同一議題在不同司法管轄區的差異」，主要產出為「支援全球產品策略」，不是一般登錄、查詢或看板。</x:v>
      </x:c>
      <x:c r="Q133" s="38" t="n">
        <x:v>5</x:v>
      </x:c>
      <x:c r="R133" s="38" t="n">
        <x:v>4</x:v>
      </x:c>
      <x:c r="S133" s="38" t="str">
        <x:v>P1</x:v>
      </x:c>
      <x:c r="T133" s="38" t="n">
        <x:v>9</x:v>
      </x:c>
      <x:c r="U133" s="39" t="str">
        <x:v>Wave 2 高價值套件</x:v>
      </x:c>
    </x:row>
    <x:row r="134" ht="86" customHeight="1">
      <x:c r="A134" s="36" t="str">
        <x:v>JV-130</x:v>
      </x:c>
      <x:c r="B134" s="37" t="str">
        <x:v>法規生效倒數管理器</x:v>
      </x:c>
      <x:c r="C134" s="37" t="str">
        <x:v>法務／專利／合規</x:v>
      </x:c>
      <x:c r="D134" s="37" t="str">
        <x:v>法規雷達</x:v>
      </x:c>
      <x:c r="E134" s="37" t="str">
        <x:v>法務、智財、法遵、研發、董事會</x:v>
      </x:c>
      <x:c r="F134" s="37" t="str">
        <x:v>法務主管、專利工程師、法遵人員、公司治理人員</x:v>
      </x:c>
      <x:c r="G134" s="37" t="str">
        <x:v>現行作法對「追蹤生效、過渡、申報與複查日期」多靠人工彙整、個人經驗或事後處理，難以一致追蹤，造成決策延遲與重工。</x:v>
      </x:c>
      <x:c r="H134" s="37" t="str">
        <x:v>資料／事件接入；追蹤生效、過渡、申報與複查日期；證據與信心呈現；例外分流與人工覆核；避免逾期成效追蹤；完整稽核軌跡</x:v>
      </x:c>
      <x:c r="I134" s="37" t="str">
        <x:v>RAG 檢索與來源引用；規則＋模型混合判斷；矛盾檢查；專門模型焦點：追蹤生效、過渡、申報與複查日期</x:v>
      </x:c>
      <x:c r="J134" s="37" t="str">
        <x:v>與多個專業 Agent 協作拆解任務，保留交接證據、逾時升級並在失敗時安全回滾</x:v>
      </x:c>
      <x:c r="K134" s="37" t="str">
        <x:v>L2 建議／需核准</x:v>
      </x:c>
      <x:c r="L134" s="37" t="str">
        <x:v>法規、合約、專利、產品規格、案件、義務、訴訟與董事會資料</x:v>
      </x:c>
      <x:c r="M134" s="37" t="str">
        <x:v>CLM、DMS、PLM、研發管理、ERP、法院與法規資料源</x:v>
      </x:c>
      <x:c r="N134" s="37" t="str">
        <x:v>跨國企業面對法規變更、專利布局與大量合約義務，需要從發現一路追到完成。Demo：匯入一組去識別資料，觸發「追蹤生效、過渡、申報與複查日期」，由系統提出證據、建議與下一步；使用者核准後回寫任務，最後呈現「避免逾期」前後差異。</x:v>
      </x:c>
      <x:c r="O134" s="37" t="str">
        <x:v>中低</x:v>
      </x:c>
      <x:c r="P134" s="37" t="str">
        <x:v>鄰近既有能力：原有可能有合約或法規模組；本群聚焦持續監測、證據分析與可執行義務閉環。本 App 的獨立邊界是「追蹤生效、過渡、申報與複查日期」，主要產出為「避免逾期」，不是一般登錄、查詢或看板。</x:v>
      </x:c>
      <x:c r="Q134" s="38" t="n">
        <x:v>5</x:v>
      </x:c>
      <x:c r="R134" s="38" t="n">
        <x:v>5</x:v>
      </x:c>
      <x:c r="S134" s="38" t="str">
        <x:v>P1</x:v>
      </x:c>
      <x:c r="T134" s="38" t="n">
        <x:v>11</x:v>
      </x:c>
      <x:c r="U134" s="39" t="str">
        <x:v>Wave 2 高價值套件</x:v>
      </x:c>
    </x:row>
    <x:row r="135" ht="86" customHeight="1">
      <x:c r="A135" s="36" t="str">
        <x:v>JV-131</x:v>
      </x:c>
      <x:c r="B135" s="37" t="str">
        <x:v>合約義務擷取器</x:v>
      </x:c>
      <x:c r="C135" s="37" t="str">
        <x:v>法務／專利／合規</x:v>
      </x:c>
      <x:c r="D135" s="37" t="str">
        <x:v>合約義務</x:v>
      </x:c>
      <x:c r="E135" s="37" t="str">
        <x:v>法務、智財、法遵、研發、董事會</x:v>
      </x:c>
      <x:c r="F135" s="37" t="str">
        <x:v>法務主管、專利工程師、法遵人員、公司治理人員</x:v>
      </x:c>
      <x:c r="G135" s="37" t="str">
        <x:v>現行作法對「從合約抽取交付、付款、通知、稽核與續約義務」多靠人工彙整、個人經驗或事後處理，難以一致追蹤，造成決策延遲與重工。</x:v>
      </x:c>
      <x:c r="H135" s="37" t="str">
        <x:v>資料／事件接入；從合約抽取交付、付款、通知、稽核與續約義務；證據與信心呈現；例外分流與人工覆核；建立可追蹤台帳成效追蹤；完整稽核軌跡</x:v>
      </x:c>
      <x:c r="I135" s="37" t="str">
        <x:v>語意分類與實體抽取；風險／信心評分；具證據的生成與摘要；專門模型焦點：從合約抽取交付、付款、通知、稽核與續約義務</x:v>
      </x:c>
      <x:c r="J135" s="37" t="str">
        <x:v>持續監測事件，達門檻後建立案件、蒐集證據、指派責任並追蹤結案；高風險動作需人工核准</x:v>
      </x:c>
      <x:c r="K135" s="37" t="str">
        <x:v>L3 可執行／關鍵核准</x:v>
      </x:c>
      <x:c r="L135" s="37" t="str">
        <x:v>法規、合約、專利、產品規格、案件、義務、訴訟與董事會資料</x:v>
      </x:c>
      <x:c r="M135" s="37" t="str">
        <x:v>CLM、DMS、PLM、研發管理、ERP、法院與法規資料源</x:v>
      </x:c>
      <x:c r="N135" s="37" t="str">
        <x:v>跨國企業面對法規變更、專利布局與大量合約義務，需要從發現一路追到完成。Demo：匯入一組去識別資料，觸發「從合約抽取交付、付款、通知、稽核與續約義務」，由系統提出證據、建議與下一步；使用者核准後回寫任務，最後呈現「建立可追蹤台帳」前後差異。</x:v>
      </x:c>
      <x:c r="O135" s="37" t="str">
        <x:v>中低</x:v>
      </x:c>
      <x:c r="P135" s="37" t="str">
        <x:v>鄰近既有能力：原有可能有合約或法規模組；本群聚焦持續監測、證據分析與可執行義務閉環。本 App 的獨立邊界是「從合約抽取交付、付款、通知、稽核與續約義務」，主要產出為「建立可追蹤台帳」，不是一般登錄、查詢或看板。</x:v>
      </x:c>
      <x:c r="Q135" s="38" t="n">
        <x:v>5</x:v>
      </x:c>
      <x:c r="R135" s="38" t="n">
        <x:v>3</x:v>
      </x:c>
      <x:c r="S135" s="38" t="str">
        <x:v>P1</x:v>
      </x:c>
      <x:c r="T135" s="38" t="n">
        <x:v>7</x:v>
      </x:c>
      <x:c r="U135" s="39" t="str">
        <x:v>Wave 2 高價值套件</x:v>
      </x:c>
    </x:row>
    <x:row r="136" ht="86" customHeight="1">
      <x:c r="A136" s="36" t="str">
        <x:v>JV-132</x:v>
      </x:c>
      <x:c r="B136" s="37" t="str">
        <x:v>合約條款偏離偵測器</x:v>
      </x:c>
      <x:c r="C136" s="37" t="str">
        <x:v>法務／專利／合規</x:v>
      </x:c>
      <x:c r="D136" s="37" t="str">
        <x:v>合約義務</x:v>
      </x:c>
      <x:c r="E136" s="37" t="str">
        <x:v>法務、智財、法遵、研發、董事會</x:v>
      </x:c>
      <x:c r="F136" s="37" t="str">
        <x:v>法務主管、專利工程師、法遵人員、公司治理人員</x:v>
      </x:c>
      <x:c r="G136" s="37" t="str">
        <x:v>現行作法對「與標準條款庫比對非標準風險」多靠人工彙整、個人經驗或事後處理，難以一致追蹤，造成決策延遲與重工。</x:v>
      </x:c>
      <x:c r="H136" s="37" t="str">
        <x:v>資料／事件接入；與標準條款庫比對非標準風險；證據與信心呈現；例外分流與人工覆核；聚焦法務審查成效追蹤；完整稽核軌跡</x:v>
      </x:c>
      <x:c r="I136" s="37" t="str">
        <x:v>預測與情境模擬；多目標最佳化；不確定性呈現；專門模型焦點：與標準條款庫比對非標準風險</x:v>
      </x:c>
      <x:c r="J136" s="37" t="str">
        <x:v>定期掃描資料與外部訊號，提出優先序與建議；經核准後同步任務與更新來源系統</x:v>
      </x:c>
      <x:c r="K136" s="37" t="str">
        <x:v>L3 可執行／關鍵核准</x:v>
      </x:c>
      <x:c r="L136" s="37" t="str">
        <x:v>法規、合約、專利、產品規格、案件、義務、訴訟與董事會資料</x:v>
      </x:c>
      <x:c r="M136" s="37" t="str">
        <x:v>CLM、DMS、PLM、研發管理、ERP、法院與法規資料源</x:v>
      </x:c>
      <x:c r="N136" s="37" t="str">
        <x:v>跨國企業面對法規變更、專利布局與大量合約義務，需要從發現一路追到完成。Demo：匯入一組去識別資料，觸發「與標準條款庫比對非標準風險」，由系統提出證據、建議與下一步；使用者核准後回寫任務，最後呈現「聚焦法務審查」前後差異。</x:v>
      </x:c>
      <x:c r="O136" s="37" t="str">
        <x:v>低</x:v>
      </x:c>
      <x:c r="P136" s="37" t="str">
        <x:v>鄰近既有能力：原有可能有合約或法規模組；本群聚焦持續監測、證據分析與可執行義務閉環。本 App 的獨立邊界是「與標準條款庫比對非標準風險」，主要產出為「聚焦法務審查」，不是一般登錄、查詢或看板。</x:v>
      </x:c>
      <x:c r="Q136" s="38" t="n">
        <x:v>5</x:v>
      </x:c>
      <x:c r="R136" s="38" t="n">
        <x:v>4</x:v>
      </x:c>
      <x:c r="S136" s="38" t="str">
        <x:v>P1</x:v>
      </x:c>
      <x:c r="T136" s="38" t="n">
        <x:v>9</x:v>
      </x:c>
      <x:c r="U136" s="39" t="str">
        <x:v>Wave 2 高價值套件</x:v>
      </x:c>
    </x:row>
    <x:row r="137" ht="86" customHeight="1">
      <x:c r="A137" s="36" t="str">
        <x:v>JV-133</x:v>
      </x:c>
      <x:c r="B137" s="37" t="str">
        <x:v>合約連鎖義務映射器</x:v>
      </x:c>
      <x:c r="C137" s="37" t="str">
        <x:v>法務／專利／合規</x:v>
      </x:c>
      <x:c r="D137" s="37" t="str">
        <x:v>合約義務</x:v>
      </x:c>
      <x:c r="E137" s="37" t="str">
        <x:v>法務、智財、法遵、研發、董事會</x:v>
      </x:c>
      <x:c r="F137" s="37" t="str">
        <x:v>法務主管、專利工程師、法遵人員、公司治理人員</x:v>
      </x:c>
      <x:c r="G137" s="37" t="str">
        <x:v>現行作法對「把客戶承諾映射到供應商與內部流程」多靠人工彙整、個人經驗或事後處理，難以一致追蹤，造成決策延遲與重工。</x:v>
      </x:c>
      <x:c r="H137" s="37" t="str">
        <x:v>資料／事件接入；把客戶承諾映射到供應商與內部流程；證據與信心呈現；例外分流與人工覆核；避免背對背缺口成效追蹤；完整稽核軌跡</x:v>
      </x:c>
      <x:c r="I137" s="37" t="str">
        <x:v>跨文件／跨系統比對；圖譜推理；差異與缺口生成；專門模型焦點：把客戶承諾映射到供應商與內部流程</x:v>
      </x:c>
      <x:c r="J137" s="37" t="str">
        <x:v>以人機協作模式先產生草案與證據包，接受修改後執行核准步驟並建立完整稽核軌跡</x:v>
      </x:c>
      <x:c r="K137" s="37" t="str">
        <x:v>L3 可執行／關鍵核准</x:v>
      </x:c>
      <x:c r="L137" s="37" t="str">
        <x:v>法規、合約、專利、產品規格、案件、義務、訴訟與董事會資料</x:v>
      </x:c>
      <x:c r="M137" s="37" t="str">
        <x:v>CLM、DMS、PLM、研發管理、ERP、法院與法規資料源</x:v>
      </x:c>
      <x:c r="N137" s="37" t="str">
        <x:v>跨國企業面對法規變更、專利布局與大量合約義務，需要從發現一路追到完成。Demo：匯入一組去識別資料，觸發「把客戶承諾映射到供應商與內部流程」，由系統提出證據、建議與下一步；使用者核准後回寫任務，最後呈現「避免背對背缺口」前後差異。</x:v>
      </x:c>
      <x:c r="O137" s="37" t="str">
        <x:v>低</x:v>
      </x:c>
      <x:c r="P137" s="37" t="str">
        <x:v>鄰近既有能力：原有可能有合約或法規模組；本群聚焦持續監測、證據分析與可執行義務閉環。本 App 的獨立邊界是「把客戶承諾映射到供應商與內部流程」，主要產出為「避免背對背缺口」，不是一般登錄、查詢或看板。</x:v>
      </x:c>
      <x:c r="Q137" s="38" t="n">
        <x:v>5</x:v>
      </x:c>
      <x:c r="R137" s="38" t="n">
        <x:v>4</x:v>
      </x:c>
      <x:c r="S137" s="38" t="str">
        <x:v>P1</x:v>
      </x:c>
      <x:c r="T137" s="38" t="n">
        <x:v>9</x:v>
      </x:c>
      <x:c r="U137" s="39" t="str">
        <x:v>Wave 2 高價值套件</x:v>
      </x:c>
    </x:row>
    <x:row r="138" ht="86" customHeight="1">
      <x:c r="A138" s="36" t="str">
        <x:v>JV-134</x:v>
      </x:c>
      <x:c r="B138" s="37" t="str">
        <x:v>合約權利行使提醒器</x:v>
      </x:c>
      <x:c r="C138" s="37" t="str">
        <x:v>法務／專利／合規</x:v>
      </x:c>
      <x:c r="D138" s="37" t="str">
        <x:v>合約義務</x:v>
      </x:c>
      <x:c r="E138" s="37" t="str">
        <x:v>法務、智財、法遵、研發、董事會</x:v>
      </x:c>
      <x:c r="F138" s="37" t="str">
        <x:v>法務主管、專利工程師、法遵人員、公司治理人員</x:v>
      </x:c>
      <x:c r="G138" s="37" t="str">
        <x:v>現行作法對「追蹤價格調整、終止、索賠與稽核權窗口」多靠人工彙整、個人經驗或事後處理，難以一致追蹤，造成決策延遲與重工。</x:v>
      </x:c>
      <x:c r="H138" s="37" t="str">
        <x:v>資料／事件接入；追蹤價格調整、終止、索賠與稽核權窗口；證據與信心呈現；例外分流與人工覆核；避免權利失效成效追蹤；完整稽核軌跡</x:v>
      </x:c>
      <x:c r="I138" s="37" t="str">
        <x:v>異常偵測；因果線索分析；可解釋的建議排序；專門模型焦點：追蹤價格調整、終止、索賠與稽核權窗口</x:v>
      </x:c>
      <x:c r="J138" s="37" t="str">
        <x:v>依目標自主規劃步驟、呼叫核准工具、遇到例外改走人工佇列，完成後驗證結果並回報</x:v>
      </x:c>
      <x:c r="K138" s="37" t="str">
        <x:v>L3 可執行／關鍵核准</x:v>
      </x:c>
      <x:c r="L138" s="37" t="str">
        <x:v>法規、合約、專利、產品規格、案件、義務、訴訟與董事會資料</x:v>
      </x:c>
      <x:c r="M138" s="37" t="str">
        <x:v>CLM、DMS、PLM、研發管理、ERP、法院與法規資料源</x:v>
      </x:c>
      <x:c r="N138" s="37" t="str">
        <x:v>跨國企業面對法規變更、專利布局與大量合約義務，需要從發現一路追到完成。Demo：匯入一組去識別資料，觸發「追蹤價格調整、終止、索賠與稽核權窗口」，由系統提出證據、建議與下一步；使用者核准後回寫任務，最後呈現「避免權利失效」前後差異。</x:v>
      </x:c>
      <x:c r="O138" s="37" t="str">
        <x:v>低</x:v>
      </x:c>
      <x:c r="P138" s="37" t="str">
        <x:v>鄰近既有能力：原有可能有合約或法規模組；本群聚焦持續監測、證據分析與可執行義務閉環。本 App 的獨立邊界是「追蹤價格調整、終止、索賠與稽核權窗口」，主要產出為「避免權利失效」，不是一般登錄、查詢或看板。</x:v>
      </x:c>
      <x:c r="Q138" s="38" t="n">
        <x:v>5</x:v>
      </x:c>
      <x:c r="R138" s="38" t="n">
        <x:v>4</x:v>
      </x:c>
      <x:c r="S138" s="38" t="str">
        <x:v>P1</x:v>
      </x:c>
      <x:c r="T138" s="38" t="n">
        <x:v>9</x:v>
      </x:c>
      <x:c r="U138" s="39" t="str">
        <x:v>Wave 2 高價值套件</x:v>
      </x:c>
    </x:row>
    <x:row r="139" ht="86" customHeight="1">
      <x:c r="A139" s="36" t="str">
        <x:v>JV-135</x:v>
      </x:c>
      <x:c r="B139" s="37" t="str">
        <x:v>合約證據保全包</x:v>
      </x:c>
      <x:c r="C139" s="37" t="str">
        <x:v>法務／專利／合規</x:v>
      </x:c>
      <x:c r="D139" s="37" t="str">
        <x:v>合約義務</x:v>
      </x:c>
      <x:c r="E139" s="37" t="str">
        <x:v>法務、智財、法遵、研發、董事會</x:v>
      </x:c>
      <x:c r="F139" s="37" t="str">
        <x:v>法務主管、專利工程師、法遵人員、公司治理人員</x:v>
      </x:c>
      <x:c r="G139" s="37" t="str">
        <x:v>現行作法對「彙整履約紀錄、往來與版本形成爭議證據」多靠人工彙整、個人經驗或事後處理，難以一致追蹤，造成決策延遲與重工。</x:v>
      </x:c>
      <x:c r="H139" s="37" t="str">
        <x:v>資料／事件接入；彙整履約紀錄、往來與版本形成爭議證據；證據與信心呈現；例外分流與人工覆核；加速案件準備成效追蹤；完整稽核軌跡</x:v>
      </x:c>
      <x:c r="I139" s="37" t="str">
        <x:v>RAG 檢索與來源引用；規則＋模型混合判斷；矛盾檢查；專門模型焦點：彙整履約紀錄、往來與版本形成爭議證據</x:v>
      </x:c>
      <x:c r="J139" s="37" t="str">
        <x:v>與多個專業 Agent 協作拆解任務，保留交接證據、逾時升級並在失敗時安全回滾</x:v>
      </x:c>
      <x:c r="K139" s="37" t="str">
        <x:v>L2 建議／需核准</x:v>
      </x:c>
      <x:c r="L139" s="37" t="str">
        <x:v>法規、合約、專利、產品規格、案件、義務、訴訟與董事會資料</x:v>
      </x:c>
      <x:c r="M139" s="37" t="str">
        <x:v>CLM、DMS、PLM、研發管理、ERP、法院與法規資料源</x:v>
      </x:c>
      <x:c r="N139" s="37" t="str">
        <x:v>跨國企業面對法規變更、專利布局與大量合約義務，需要從發現一路追到完成。Demo：匯入一組去識別資料，觸發「彙整履約紀錄、往來與版本形成爭議證據」，由系統提出證據、建議與下一步；使用者核准後回寫任務，最後呈現「加速案件準備」前後差異。</x:v>
      </x:c>
      <x:c r="O139" s="37" t="str">
        <x:v>中低</x:v>
      </x:c>
      <x:c r="P139" s="37" t="str">
        <x:v>鄰近既有能力：原有可能有合約或法規模組；本群聚焦持續監測、證據分析與可執行義務閉環。本 App 的獨立邊界是「彙整履約紀錄、往來與版本形成爭議證據」，主要產出為「加速案件準備」，不是一般登錄、查詢或看板。</x:v>
      </x:c>
      <x:c r="Q139" s="38" t="n">
        <x:v>5</x:v>
      </x:c>
      <x:c r="R139" s="38" t="n">
        <x:v>5</x:v>
      </x:c>
      <x:c r="S139" s="38" t="str">
        <x:v>P1</x:v>
      </x:c>
      <x:c r="T139" s="38" t="n">
        <x:v>11</x:v>
      </x:c>
      <x:c r="U139" s="39" t="str">
        <x:v>Wave 2 高價值套件</x:v>
      </x:c>
    </x:row>
    <x:row r="140" ht="86" customHeight="1">
      <x:c r="A140" s="36" t="str">
        <x:v>JV-136</x:v>
      </x:c>
      <x:c r="B140" s="37" t="str">
        <x:v>案件時間線重建器</x:v>
      </x:c>
      <x:c r="C140" s="37" t="str">
        <x:v>法務／專利／合規</x:v>
      </x:c>
      <x:c r="D140" s="37" t="str">
        <x:v>訴訟與爭議</x:v>
      </x:c>
      <x:c r="E140" s="37" t="str">
        <x:v>法務、智財、法遵、研發、董事會</x:v>
      </x:c>
      <x:c r="F140" s="37" t="str">
        <x:v>法務主管、專利工程師、法遵人員、公司治理人員</x:v>
      </x:c>
      <x:c r="G140" s="37" t="str">
        <x:v>現行作法對「從郵件、文件與系統事件重建可引用時間線」多靠人工彙整、個人經驗或事後處理，難以一致追蹤，造成決策延遲與重工。</x:v>
      </x:c>
      <x:c r="H140" s="37" t="str">
        <x:v>資料／事件接入；從郵件、文件與系統事件重建可引用時間線；證據與信心呈現；例外分流與人工覆核；減少人工整理成效追蹤；完整稽核軌跡</x:v>
      </x:c>
      <x:c r="I140" s="37" t="str">
        <x:v>語意分類與實體抽取；風險／信心評分；具證據的生成與摘要；專門模型焦點：從郵件、文件與系統事件重建可引用時間線</x:v>
      </x:c>
      <x:c r="J140" s="37" t="str">
        <x:v>持續監測事件，達門檻後建立案件、蒐集證據、指派責任並追蹤結案；高風險動作需人工核准</x:v>
      </x:c>
      <x:c r="K140" s="37" t="str">
        <x:v>L3 可執行／關鍵核准</x:v>
      </x:c>
      <x:c r="L140" s="37" t="str">
        <x:v>法規、合約、專利、產品規格、案件、義務、訴訟與董事會資料</x:v>
      </x:c>
      <x:c r="M140" s="37" t="str">
        <x:v>CLM、DMS、PLM、研發管理、ERP、法院與法規資料源</x:v>
      </x:c>
      <x:c r="N140" s="37" t="str">
        <x:v>跨國企業面對法規變更、專利布局與大量合約義務，需要從發現一路追到完成。Demo：匯入一組去識別資料，觸發「從郵件、文件與系統事件重建可引用時間線」，由系統提出證據、建議與下一步；使用者核准後回寫任務，最後呈現「減少人工整理」前後差異。</x:v>
      </x:c>
      <x:c r="O140" s="37" t="str">
        <x:v>中低</x:v>
      </x:c>
      <x:c r="P140" s="37" t="str">
        <x:v>鄰近既有能力：原有可能有合約或法規模組；本群聚焦持續監測、證據分析與可執行義務閉環。本 App 的獨立邊界是「從郵件、文件與系統事件重建可引用時間線」，主要產出為「減少人工整理」，不是一般登錄、查詢或看板。</x:v>
      </x:c>
      <x:c r="Q140" s="38" t="n">
        <x:v>4</x:v>
      </x:c>
      <x:c r="R140" s="38" t="n">
        <x:v>3</x:v>
      </x:c>
      <x:c r="S140" s="38" t="str">
        <x:v>P1</x:v>
      </x:c>
      <x:c r="T140" s="38" t="n">
        <x:v>7</x:v>
      </x:c>
      <x:c r="U140" s="39" t="str">
        <x:v>Wave 2 高價值套件</x:v>
      </x:c>
    </x:row>
    <x:row r="141" ht="86" customHeight="1">
      <x:c r="A141" s="36" t="str">
        <x:v>JV-137</x:v>
      </x:c>
      <x:c r="B141" s="37" t="str">
        <x:v>爭點證據矩陣</x:v>
      </x:c>
      <x:c r="C141" s="37" t="str">
        <x:v>法務／專利／合規</x:v>
      </x:c>
      <x:c r="D141" s="37" t="str">
        <x:v>訴訟與爭議</x:v>
      </x:c>
      <x:c r="E141" s="37" t="str">
        <x:v>法務、智財、法遵、研發、董事會</x:v>
      </x:c>
      <x:c r="F141" s="37" t="str">
        <x:v>法務主管、專利工程師、法遵人員、公司治理人員</x:v>
      </x:c>
      <x:c r="G141" s="37" t="str">
        <x:v>現行作法對「將主張、要件、證據、反證與缺口結構化」多靠人工彙整、個人經驗或事後處理，難以一致追蹤，造成決策延遲與重工。</x:v>
      </x:c>
      <x:c r="H141" s="37" t="str">
        <x:v>資料／事件接入；將主張、要件、證據、反證與缺口結構化；證據與信心呈現；例外分流與人工覆核；提升訴訟策略清晰度成效追蹤；完整稽核軌跡</x:v>
      </x:c>
      <x:c r="I141" s="37" t="str">
        <x:v>預測與情境模擬；多目標最佳化；不確定性呈現；專門模型焦點：將主張、要件、證據、反證與缺口結構化</x:v>
      </x:c>
      <x:c r="J141" s="37" t="str">
        <x:v>定期掃描資料與外部訊號，提出優先序與建議；經核准後同步任務與更新來源系統</x:v>
      </x:c>
      <x:c r="K141" s="37" t="str">
        <x:v>L3 可執行／關鍵核准</x:v>
      </x:c>
      <x:c r="L141" s="37" t="str">
        <x:v>法規、合約、專利、產品規格、案件、義務、訴訟與董事會資料</x:v>
      </x:c>
      <x:c r="M141" s="37" t="str">
        <x:v>CLM、DMS、PLM、研發管理、ERP、法院與法規資料源</x:v>
      </x:c>
      <x:c r="N141" s="37" t="str">
        <x:v>跨國企業面對法規變更、專利布局與大量合約義務，需要從發現一路追到完成。Demo：匯入一組去識別資料，觸發「將主張、要件、證據、反證與缺口結構化」，由系統提出證據、建議與下一步；使用者核准後回寫任務，最後呈現「提升訴訟策略清晰度」前後差異。</x:v>
      </x:c>
      <x:c r="O141" s="37" t="str">
        <x:v>低</x:v>
      </x:c>
      <x:c r="P141" s="37" t="str">
        <x:v>鄰近既有能力：原有可能有合約或法規模組；本群聚焦持續監測、證據分析與可執行義務閉環。本 App 的獨立邊界是「將主張、要件、證據、反證與缺口結構化」，主要產出為「提升訴訟策略清晰度」，不是一般登錄、查詢或看板。</x:v>
      </x:c>
      <x:c r="Q141" s="38" t="n">
        <x:v>5</x:v>
      </x:c>
      <x:c r="R141" s="38" t="n">
        <x:v>4</x:v>
      </x:c>
      <x:c r="S141" s="38" t="str">
        <x:v>P1</x:v>
      </x:c>
      <x:c r="T141" s="38" t="n">
        <x:v>9</x:v>
      </x:c>
      <x:c r="U141" s="39" t="str">
        <x:v>Wave 2 高價值套件</x:v>
      </x:c>
    </x:row>
    <x:row r="142" ht="86" customHeight="1">
      <x:c r="A142" s="36" t="str">
        <x:v>JV-138</x:v>
      </x:c>
      <x:c r="B142" s="37" t="str">
        <x:v>法律文件版本差異分析器</x:v>
      </x:c>
      <x:c r="C142" s="37" t="str">
        <x:v>法務／專利／合規</x:v>
      </x:c>
      <x:c r="D142" s="37" t="str">
        <x:v>訴訟與爭議</x:v>
      </x:c>
      <x:c r="E142" s="37" t="str">
        <x:v>法務、智財、法遵、研發、董事會</x:v>
      </x:c>
      <x:c r="F142" s="37" t="str">
        <x:v>法務主管、專利工程師、法遵人員、公司治理人員</x:v>
      </x:c>
      <x:c r="G142" s="37" t="str">
        <x:v>現行作法對「辨識書狀與證據清單的實質變更」多靠人工彙整、個人經驗或事後處理，難以一致追蹤，造成決策延遲與重工。</x:v>
      </x:c>
      <x:c r="H142" s="37" t="str">
        <x:v>資料／事件接入；辨識書狀與證據清單的實質變更；證據與信心呈現；例外分流與人工覆核；避免遺漏修改成效追蹤；完整稽核軌跡</x:v>
      </x:c>
      <x:c r="I142" s="37" t="str">
        <x:v>跨文件／跨系統比對；圖譜推理；差異與缺口生成；專門模型焦點：辨識書狀與證據清單的實質變更</x:v>
      </x:c>
      <x:c r="J142" s="37" t="str">
        <x:v>以人機協作模式先產生草案與證據包，接受修改後執行核准步驟並建立完整稽核軌跡</x:v>
      </x:c>
      <x:c r="K142" s="37" t="str">
        <x:v>L3 可執行／關鍵核准</x:v>
      </x:c>
      <x:c r="L142" s="37" t="str">
        <x:v>法規、合約、專利、產品規格、案件、義務、訴訟與董事會資料</x:v>
      </x:c>
      <x:c r="M142" s="37" t="str">
        <x:v>CLM、DMS、PLM、研發管理、ERP、法院與法規資料源</x:v>
      </x:c>
      <x:c r="N142" s="37" t="str">
        <x:v>跨國企業面對法規變更、專利布局與大量合約義務，需要從發現一路追到完成。Demo：匯入一組去識別資料，觸發「辨識書狀與證據清單的實質變更」，由系統提出證據、建議與下一步；使用者核准後回寫任務，最後呈現「避免遺漏修改」前後差異。</x:v>
      </x:c>
      <x:c r="O142" s="37" t="str">
        <x:v>低</x:v>
      </x:c>
      <x:c r="P142" s="37" t="str">
        <x:v>鄰近既有能力：原有可能有合約或法規模組；本群聚焦持續監測、證據分析與可執行義務閉環。本 App 的獨立邊界是「辨識書狀與證據清單的實質變更」，主要產出為「避免遺漏修改」，不是一般登錄、查詢或看板。</x:v>
      </x:c>
      <x:c r="Q142" s="38" t="n">
        <x:v>5</x:v>
      </x:c>
      <x:c r="R142" s="38" t="n">
        <x:v>4</x:v>
      </x:c>
      <x:c r="S142" s="38" t="str">
        <x:v>P1</x:v>
      </x:c>
      <x:c r="T142" s="38" t="n">
        <x:v>9</x:v>
      </x:c>
      <x:c r="U142" s="39" t="str">
        <x:v>Wave 2 高價值套件</x:v>
      </x:c>
    </x:row>
    <x:row r="143" ht="86" customHeight="1">
      <x:c r="A143" s="36" t="str">
        <x:v>JV-139</x:v>
      </x:c>
      <x:c r="B143" s="37" t="str">
        <x:v>電子證據保全協調器</x:v>
      </x:c>
      <x:c r="C143" s="37" t="str">
        <x:v>法務／專利／合規</x:v>
      </x:c>
      <x:c r="D143" s="37" t="str">
        <x:v>訴訟與爭議</x:v>
      </x:c>
      <x:c r="E143" s="37" t="str">
        <x:v>法務、智財、法遵、研發、董事會</x:v>
      </x:c>
      <x:c r="F143" s="37" t="str">
        <x:v>法務主管、專利工程師、法遵人員、公司治理人員</x:v>
      </x:c>
      <x:c r="G143" s="37" t="str">
        <x:v>現行作法對「對保管人、資料源與期間發出並追蹤 hold」多靠人工彙整、個人經驗或事後處理，難以一致追蹤，造成決策延遲與重工。</x:v>
      </x:c>
      <x:c r="H143" s="37" t="str">
        <x:v>資料／事件接入；對保管人、資料源與期間發出並追蹤 hold；證據與信心呈現；例外分流與人工覆核；降低滅失風險成效追蹤；完整稽核軌跡</x:v>
      </x:c>
      <x:c r="I143" s="37" t="str">
        <x:v>異常偵測；因果線索分析；可解釋的建議排序；專門模型焦點：對保管人、資料源與期間發出並追蹤 hold</x:v>
      </x:c>
      <x:c r="J143" s="37" t="str">
        <x:v>依目標自主規劃步驟、呼叫核准工具、遇到例外改走人工佇列，完成後驗證結果並回報</x:v>
      </x:c>
      <x:c r="K143" s="37" t="str">
        <x:v>L3 可執行／關鍵核准</x:v>
      </x:c>
      <x:c r="L143" s="37" t="str">
        <x:v>法規、合約、專利、產品規格、案件、義務、訴訟與董事會資料</x:v>
      </x:c>
      <x:c r="M143" s="37" t="str">
        <x:v>CLM、DMS、PLM、研發管理、ERP、法院與法規資料源</x:v>
      </x:c>
      <x:c r="N143" s="37" t="str">
        <x:v>跨國企業面對法規變更、專利布局與大量合約義務，需要從發現一路追到完成。Demo：匯入一組去識別資料，觸發「對保管人、資料源與期間發出並追蹤 hold」，由系統提出證據、建議與下一步；使用者核准後回寫任務，最後呈現「降低滅失風險」前後差異。</x:v>
      </x:c>
      <x:c r="O143" s="37" t="str">
        <x:v>低</x:v>
      </x:c>
      <x:c r="P143" s="37" t="str">
        <x:v>鄰近既有能力：原有可能有合約或法規模組；本群聚焦持續監測、證據分析與可執行義務閉環。本 App 的獨立邊界是「對保管人、資料源與期間發出並追蹤 hold」，主要產出為「降低滅失風險」，不是一般登錄、查詢或看板。</x:v>
      </x:c>
      <x:c r="Q143" s="38" t="n">
        <x:v>5</x:v>
      </x:c>
      <x:c r="R143" s="38" t="n">
        <x:v>4</x:v>
      </x:c>
      <x:c r="S143" s="38" t="str">
        <x:v>P1</x:v>
      </x:c>
      <x:c r="T143" s="38" t="n">
        <x:v>9</x:v>
      </x:c>
      <x:c r="U143" s="39" t="str">
        <x:v>Wave 2 高價值套件</x:v>
      </x:c>
    </x:row>
    <x:row r="144" ht="86" customHeight="1">
      <x:c r="A144" s="36" t="str">
        <x:v>JV-140</x:v>
      </x:c>
      <x:c r="B144" s="37" t="str">
        <x:v>外部律師費用預測器</x:v>
      </x:c>
      <x:c r="C144" s="37" t="str">
        <x:v>法務／專利／合規</x:v>
      </x:c>
      <x:c r="D144" s="37" t="str">
        <x:v>訴訟與爭議</x:v>
      </x:c>
      <x:c r="E144" s="37" t="str">
        <x:v>法務、智財、法遵、研發、董事會</x:v>
      </x:c>
      <x:c r="F144" s="37" t="str">
        <x:v>法務主管、專利工程師、法遵人員、公司治理人員</x:v>
      </x:c>
      <x:c r="G144" s="37" t="str">
        <x:v>現行作法對「依階段、工時與事件估算案件預算」多靠人工彙整、個人經驗或事後處理，難以一致追蹤，造成決策延遲與重工。</x:v>
      </x:c>
      <x:c r="H144" s="37" t="str">
        <x:v>資料／事件接入；依階段、工時與事件估算案件預算；證據與信心呈現；例外分流與人工覆核；強化法律支出管理成效追蹤；完整稽核軌跡</x:v>
      </x:c>
      <x:c r="I144" s="37" t="str">
        <x:v>RAG 檢索與來源引用；規則＋模型混合判斷；矛盾檢查；專門模型焦點：依階段、工時與事件估算案件預算</x:v>
      </x:c>
      <x:c r="J144" s="37" t="str">
        <x:v>與多個專業 Agent 協作拆解任務，保留交接證據、逾時升級並在失敗時安全回滾</x:v>
      </x:c>
      <x:c r="K144" s="37" t="str">
        <x:v>L2 建議／需核准</x:v>
      </x:c>
      <x:c r="L144" s="37" t="str">
        <x:v>法規、合約、專利、產品規格、案件、義務、訴訟與董事會資料</x:v>
      </x:c>
      <x:c r="M144" s="37" t="str">
        <x:v>CLM、DMS、PLM、研發管理、ERP、法院與法規資料源</x:v>
      </x:c>
      <x:c r="N144" s="37" t="str">
        <x:v>跨國企業面對法規變更、專利布局與大量合約義務，需要從發現一路追到完成。Demo：匯入一組去識別資料，觸發「依階段、工時與事件估算案件預算」，由系統提出證據、建議與下一步；使用者核准後回寫任務，最後呈現「強化法律支出管理」前後差異。</x:v>
      </x:c>
      <x:c r="O144" s="37" t="str">
        <x:v>中低</x:v>
      </x:c>
      <x:c r="P144" s="37" t="str">
        <x:v>鄰近既有能力：原有可能有合約或法規模組；本群聚焦持續監測、證據分析與可執行義務閉環。本 App 的獨立邊界是「依階段、工時與事件估算案件預算」，主要產出為「強化法律支出管理」，不是一般登錄、查詢或看板。</x:v>
      </x:c>
      <x:c r="Q144" s="38" t="n">
        <x:v>5</x:v>
      </x:c>
      <x:c r="R144" s="38" t="n">
        <x:v>5</x:v>
      </x:c>
      <x:c r="S144" s="38" t="str">
        <x:v>P1</x:v>
      </x:c>
      <x:c r="T144" s="38" t="n">
        <x:v>11</x:v>
      </x:c>
      <x:c r="U144" s="39" t="str">
        <x:v>Wave 2 高價值套件</x:v>
      </x:c>
    </x:row>
    <x:row r="145" ht="86" customHeight="1">
      <x:c r="A145" s="36" t="str">
        <x:v>JV-141</x:v>
      </x:c>
      <x:c r="B145" s="37" t="str">
        <x:v>董事會決議義務追蹤器</x:v>
      </x:c>
      <x:c r="C145" s="37" t="str">
        <x:v>法務／專利／合規</x:v>
      </x:c>
      <x:c r="D145" s="37" t="str">
        <x:v>公司治理</x:v>
      </x:c>
      <x:c r="E145" s="37" t="str">
        <x:v>法務、智財、法遵、研發、董事會</x:v>
      </x:c>
      <x:c r="F145" s="37" t="str">
        <x:v>法務主管、專利工程師、法遵人員、公司治理人員</x:v>
      </x:c>
      <x:c r="G145" s="37" t="str">
        <x:v>現行作法對「將決議拆成責任、期限與證據」多靠人工彙整、個人經驗或事後處理，難以一致追蹤，造成決策延遲與重工。</x:v>
      </x:c>
      <x:c r="H145" s="37" t="str">
        <x:v>資料／事件接入；將決議拆成責任、期限與證據；證據與信心呈現；例外分流與人工覆核；確保決策落地成效追蹤；完整稽核軌跡</x:v>
      </x:c>
      <x:c r="I145" s="37" t="str">
        <x:v>語意分類與實體抽取；風險／信心評分；具證據的生成與摘要；專門模型焦點：將決議拆成責任、期限與證據</x:v>
      </x:c>
      <x:c r="J145" s="37" t="str">
        <x:v>持續監測事件，達門檻後建立案件、蒐集證據、指派責任並追蹤結案；高風險動作需人工核准</x:v>
      </x:c>
      <x:c r="K145" s="37" t="str">
        <x:v>L3 可執行／關鍵核准</x:v>
      </x:c>
      <x:c r="L145" s="37" t="str">
        <x:v>法規、合約、專利、產品規格、案件、義務、訴訟與董事會資料</x:v>
      </x:c>
      <x:c r="M145" s="37" t="str">
        <x:v>CLM、DMS、PLM、研發管理、ERP、法院與法規資料源</x:v>
      </x:c>
      <x:c r="N145" s="37" t="str">
        <x:v>跨國企業面對法規變更、專利布局與大量合約義務，需要從發現一路追到完成。Demo：匯入一組去識別資料，觸發「將決議拆成責任、期限與證據」，由系統提出證據、建議與下一步；使用者核准後回寫任務，最後呈現「確保決策落地」前後差異。</x:v>
      </x:c>
      <x:c r="O145" s="37" t="str">
        <x:v>中低</x:v>
      </x:c>
      <x:c r="P145" s="37" t="str">
        <x:v>鄰近既有能力：原有可能有合約或法規模組；本群聚焦持續監測、證據分析與可執行義務閉環。本 App 的獨立邊界是「將決議拆成責任、期限與證據」，主要產出為「確保決策落地」，不是一般登錄、查詢或看板。</x:v>
      </x:c>
      <x:c r="Q145" s="38" t="n">
        <x:v>5</x:v>
      </x:c>
      <x:c r="R145" s="38" t="n">
        <x:v>3</x:v>
      </x:c>
      <x:c r="S145" s="38" t="str">
        <x:v>P1</x:v>
      </x:c>
      <x:c r="T145" s="38" t="n">
        <x:v>7</x:v>
      </x:c>
      <x:c r="U145" s="39" t="str">
        <x:v>Wave 2 高價值套件</x:v>
      </x:c>
    </x:row>
    <x:row r="146" ht="86" customHeight="1">
      <x:c r="A146" s="36" t="str">
        <x:v>JV-142</x:v>
      </x:c>
      <x:c r="B146" s="37" t="str">
        <x:v>關係人交易偵測器</x:v>
      </x:c>
      <x:c r="C146" s="37" t="str">
        <x:v>法務／專利／合規</x:v>
      </x:c>
      <x:c r="D146" s="37" t="str">
        <x:v>公司治理</x:v>
      </x:c>
      <x:c r="E146" s="37" t="str">
        <x:v>法務、智財、法遵、研發、董事會</x:v>
      </x:c>
      <x:c r="F146" s="37" t="str">
        <x:v>法務主管、專利工程師、法遵人員、公司治理人員</x:v>
      </x:c>
      <x:c r="G146" s="37" t="str">
        <x:v>現行作法對「串聯主檔、交易與關係網路發現疑似案件」多靠人工彙整、個人經驗或事後處理，難以一致追蹤，造成決策延遲與重工。</x:v>
      </x:c>
      <x:c r="H146" s="37" t="str">
        <x:v>資料／事件接入；串聯主檔、交易與關係網路發現疑似案件；證據與信心呈現；例外分流與人工覆核；提前啟動審議成效追蹤；完整稽核軌跡</x:v>
      </x:c>
      <x:c r="I146" s="37" t="str">
        <x:v>預測與情境模擬；多目標最佳化；不確定性呈現；專門模型焦點：串聯主檔、交易與關係網路發現疑似案件</x:v>
      </x:c>
      <x:c r="J146" s="37" t="str">
        <x:v>定期掃描資料與外部訊號，提出優先序與建議；經核准後同步任務與更新來源系統</x:v>
      </x:c>
      <x:c r="K146" s="37" t="str">
        <x:v>L3 可執行／關鍵核准</x:v>
      </x:c>
      <x:c r="L146" s="37" t="str">
        <x:v>法規、合約、專利、產品規格、案件、義務、訴訟與董事會資料</x:v>
      </x:c>
      <x:c r="M146" s="37" t="str">
        <x:v>CLM、DMS、PLM、研發管理、ERP、法院與法規資料源</x:v>
      </x:c>
      <x:c r="N146" s="37" t="str">
        <x:v>跨國企業面對法規變更、專利布局與大量合約義務，需要從發現一路追到完成。Demo：匯入一組去識別資料，觸發「串聯主檔、交易與關係網路發現疑似案件」，由系統提出證據、建議與下一步；使用者核准後回寫任務，最後呈現「提前啟動審議」前後差異。</x:v>
      </x:c>
      <x:c r="O146" s="37" t="str">
        <x:v>低</x:v>
      </x:c>
      <x:c r="P146" s="37" t="str">
        <x:v>鄰近既有能力：原有可能有合約或法規模組；本群聚焦持續監測、證據分析與可執行義務閉環。本 App 的獨立邊界是「串聯主檔、交易與關係網路發現疑似案件」，主要產出為「提前啟動審議」，不是一般登錄、查詢或看板。</x:v>
      </x:c>
      <x:c r="Q146" s="38" t="n">
        <x:v>4</x:v>
      </x:c>
      <x:c r="R146" s="38" t="n">
        <x:v>4</x:v>
      </x:c>
      <x:c r="S146" s="38" t="str">
        <x:v>P1</x:v>
      </x:c>
      <x:c r="T146" s="38" t="n">
        <x:v>9</x:v>
      </x:c>
      <x:c r="U146" s="39" t="str">
        <x:v>Wave 2 高價值套件</x:v>
      </x:c>
    </x:row>
    <x:row r="147" ht="86" customHeight="1">
      <x:c r="A147" s="36" t="str">
        <x:v>JV-143</x:v>
      </x:c>
      <x:c r="B147" s="37" t="str">
        <x:v>授權矩陣衝突檢查器</x:v>
      </x:c>
      <x:c r="C147" s="37" t="str">
        <x:v>法務／專利／合規</x:v>
      </x:c>
      <x:c r="D147" s="37" t="str">
        <x:v>公司治理</x:v>
      </x:c>
      <x:c r="E147" s="37" t="str">
        <x:v>法務、智財、法遵、研發、董事會</x:v>
      </x:c>
      <x:c r="F147" s="37" t="str">
        <x:v>法務主管、專利工程師、法遵人員、公司治理人員</x:v>
      </x:c>
      <x:c r="G147" s="37" t="str">
        <x:v>現行作法對「比對章程、辦法與系統權限的授權差異」多靠人工彙整、個人經驗或事後處理，難以一致追蹤，造成決策延遲與重工。</x:v>
      </x:c>
      <x:c r="H147" s="37" t="str">
        <x:v>資料／事件接入；比對章程、辦法與系統權限的授權差異；證據與信心呈現；例外分流與人工覆核；避免無權決策成效追蹤；完整稽核軌跡</x:v>
      </x:c>
      <x:c r="I147" s="37" t="str">
        <x:v>跨文件／跨系統比對；圖譜推理；差異與缺口生成；專門模型焦點：比對章程、辦法與系統權限的授權差異</x:v>
      </x:c>
      <x:c r="J147" s="37" t="str">
        <x:v>以人機協作模式先產生草案與證據包，接受修改後執行核准步驟並建立完整稽核軌跡</x:v>
      </x:c>
      <x:c r="K147" s="37" t="str">
        <x:v>L3 可執行／關鍵核准</x:v>
      </x:c>
      <x:c r="L147" s="37" t="str">
        <x:v>法規、合約、專利、產品規格、案件、義務、訴訟與董事會資料</x:v>
      </x:c>
      <x:c r="M147" s="37" t="str">
        <x:v>CLM、DMS、PLM、研發管理、ERP、法院與法規資料源</x:v>
      </x:c>
      <x:c r="N147" s="37" t="str">
        <x:v>跨國企業面對法規變更、專利布局與大量合約義務，需要從發現一路追到完成。Demo：匯入一組去識別資料，觸發「比對章程、辦法與系統權限的授權差異」，由系統提出證據、建議與下一步；使用者核准後回寫任務，最後呈現「避免無權決策」前後差異。</x:v>
      </x:c>
      <x:c r="O147" s="37" t="str">
        <x:v>低</x:v>
      </x:c>
      <x:c r="P147" s="37" t="str">
        <x:v>鄰近既有能力：原有可能有合約或法規模組；本群聚焦持續監測、證據分析與可執行義務閉環。本 App 的獨立邊界是「比對章程、辦法與系統權限的授權差異」，主要產出為「避免無權決策」，不是一般登錄、查詢或看板。</x:v>
      </x:c>
      <x:c r="Q147" s="38" t="n">
        <x:v>5</x:v>
      </x:c>
      <x:c r="R147" s="38" t="n">
        <x:v>4</x:v>
      </x:c>
      <x:c r="S147" s="38" t="str">
        <x:v>P1</x:v>
      </x:c>
      <x:c r="T147" s="38" t="n">
        <x:v>9</x:v>
      </x:c>
      <x:c r="U147" s="39" t="str">
        <x:v>Wave 2 高價值套件</x:v>
      </x:c>
    </x:row>
    <x:row r="148" ht="86" customHeight="1">
      <x:c r="A148" s="36" t="str">
        <x:v>JV-144</x:v>
      </x:c>
      <x:c r="B148" s="37" t="str">
        <x:v>治理文件一致性稽核員</x:v>
      </x:c>
      <x:c r="C148" s="37" t="str">
        <x:v>法務／專利／合規</x:v>
      </x:c>
      <x:c r="D148" s="37" t="str">
        <x:v>公司治理</x:v>
      </x:c>
      <x:c r="E148" s="37" t="str">
        <x:v>法務、智財、法遵、研發、董事會</x:v>
      </x:c>
      <x:c r="F148" s="37" t="str">
        <x:v>法務主管、專利工程師、法遵人員、公司治理人員</x:v>
      </x:c>
      <x:c r="G148" s="37" t="str">
        <x:v>現行作法對「檢查章程、規程、公告與實務流程矛盾」多靠人工彙整、個人經驗或事後處理，難以一致追蹤，造成決策延遲與重工。</x:v>
      </x:c>
      <x:c r="H148" s="37" t="str">
        <x:v>資料／事件接入；檢查章程、規程、公告與實務流程矛盾；證據與信心呈現；例外分流與人工覆核；維持制度一致成效追蹤；完整稽核軌跡</x:v>
      </x:c>
      <x:c r="I148" s="37" t="str">
        <x:v>異常偵測；因果線索分析；可解釋的建議排序；專門模型焦點：檢查章程、規程、公告與實務流程矛盾</x:v>
      </x:c>
      <x:c r="J148" s="37" t="str">
        <x:v>依目標自主規劃步驟、呼叫核准工具、遇到例外改走人工佇列，完成後驗證結果並回報</x:v>
      </x:c>
      <x:c r="K148" s="37" t="str">
        <x:v>L3 可執行／關鍵核准</x:v>
      </x:c>
      <x:c r="L148" s="37" t="str">
        <x:v>法規、合約、專利、產品規格、案件、義務、訴訟與董事會資料</x:v>
      </x:c>
      <x:c r="M148" s="37" t="str">
        <x:v>CLM、DMS、PLM、研發管理、ERP、法院與法規資料源</x:v>
      </x:c>
      <x:c r="N148" s="37" t="str">
        <x:v>跨國企業面對法規變更、專利布局與大量合約義務，需要從發現一路追到完成。Demo：匯入一組去識別資料，觸發「檢查章程、規程、公告與實務流程矛盾」，由系統提出證據、建議與下一步；使用者核准後回寫任務，最後呈現「維持制度一致」前後差異。</x:v>
      </x:c>
      <x:c r="O148" s="37" t="str">
        <x:v>低</x:v>
      </x:c>
      <x:c r="P148" s="37" t="str">
        <x:v>鄰近既有能力：原有可能有合約或法規模組；本群聚焦持續監測、證據分析與可執行義務閉環。本 App 的獨立邊界是「檢查章程、規程、公告與實務流程矛盾」，主要產出為「維持制度一致」，不是一般登錄、查詢或看板。</x:v>
      </x:c>
      <x:c r="Q148" s="38" t="n">
        <x:v>5</x:v>
      </x:c>
      <x:c r="R148" s="38" t="n">
        <x:v>4</x:v>
      </x:c>
      <x:c r="S148" s="38" t="str">
        <x:v>P1</x:v>
      </x:c>
      <x:c r="T148" s="38" t="n">
        <x:v>9</x:v>
      </x:c>
      <x:c r="U148" s="39" t="str">
        <x:v>Wave 2 高價值套件</x:v>
      </x:c>
    </x:row>
    <x:row r="149" ht="86" customHeight="1">
      <x:c r="A149" s="36" t="str">
        <x:v>JV-145</x:v>
      </x:c>
      <x:c r="B149" s="37" t="str">
        <x:v>重大訊息判斷助手</x:v>
      </x:c>
      <x:c r="C149" s="37" t="str">
        <x:v>法務／專利／合規</x:v>
      </x:c>
      <x:c r="D149" s="37" t="str">
        <x:v>公司治理</x:v>
      </x:c>
      <x:c r="E149" s="37" t="str">
        <x:v>法務、智財、法遵、研發、董事會</x:v>
      </x:c>
      <x:c r="F149" s="37" t="str">
        <x:v>法務主管、專利工程師、法遵人員、公司治理人員</x:v>
      </x:c>
      <x:c r="G149" s="37" t="str">
        <x:v>現行作法對「依事件事實、門檻與時點產生判斷紀錄」多靠人工彙整、個人經驗或事後處理，難以一致追蹤，造成決策延遲與重工。</x:v>
      </x:c>
      <x:c r="H149" s="37" t="str">
        <x:v>資料／事件接入；依事件事實、門檻與時點產生判斷紀錄；證據與信心呈現；例外分流與人工覆核；降低揭露延誤成效追蹤；完整稽核軌跡</x:v>
      </x:c>
      <x:c r="I149" s="37" t="str">
        <x:v>RAG 檢索與來源引用；規則＋模型混合判斷；矛盾檢查；專門模型焦點：依事件事實、門檻與時點產生判斷紀錄</x:v>
      </x:c>
      <x:c r="J149" s="37" t="str">
        <x:v>與多個專業 Agent 協作拆解任務，保留交接證據、逾時升級並在失敗時安全回滾</x:v>
      </x:c>
      <x:c r="K149" s="37" t="str">
        <x:v>L2 建議／需核准</x:v>
      </x:c>
      <x:c r="L149" s="37" t="str">
        <x:v>法規、合約、專利、產品規格、案件、義務、訴訟與董事會資料</x:v>
      </x:c>
      <x:c r="M149" s="37" t="str">
        <x:v>CLM、DMS、PLM、研發管理、ERP、法院與法規資料源</x:v>
      </x:c>
      <x:c r="N149" s="37" t="str">
        <x:v>跨國企業面對法規變更、專利布局與大量合約義務，需要從發現一路追到完成。Demo：匯入一組去識別資料，觸發「依事件事實、門檻與時點產生判斷紀錄」，由系統提出證據、建議與下一步；使用者核准後回寫任務，最後呈現「降低揭露延誤」前後差異。</x:v>
      </x:c>
      <x:c r="O149" s="37" t="str">
        <x:v>中低</x:v>
      </x:c>
      <x:c r="P149" s="37" t="str">
        <x:v>鄰近既有能力：原有可能有合約或法規模組；本群聚焦持續監測、證據分析與可執行義務閉環。本 App 的獨立邊界是「依事件事實、門檻與時點產生判斷紀錄」，主要產出為「降低揭露延誤」，不是一般登錄、查詢或看板。</x:v>
      </x:c>
      <x:c r="Q149" s="38" t="n">
        <x:v>5</x:v>
      </x:c>
      <x:c r="R149" s="38" t="n">
        <x:v>5</x:v>
      </x:c>
      <x:c r="S149" s="38" t="str">
        <x:v>P1</x:v>
      </x:c>
      <x:c r="T149" s="38" t="n">
        <x:v>11</x:v>
      </x:c>
      <x:c r="U149" s="39" t="str">
        <x:v>Wave 2 高價值套件</x:v>
      </x:c>
    </x:row>
    <x:row r="150" ht="86" customHeight="1">
      <x:c r="A150" s="36" t="str">
        <x:v>JV-146</x:v>
      </x:c>
      <x:c r="B150" s="37" t="str">
        <x:v>產品合規證據護照</x:v>
      </x:c>
      <x:c r="C150" s="37" t="str">
        <x:v>法務／專利／合規</x:v>
      </x:c>
      <x:c r="D150" s="37" t="str">
        <x:v>出口與產品合規</x:v>
      </x:c>
      <x:c r="E150" s="37" t="str">
        <x:v>法務、智財、法遵、研發、董事會</x:v>
      </x:c>
      <x:c r="F150" s="37" t="str">
        <x:v>法務主管、專利工程師、法遵人員、公司治理人員</x:v>
      </x:c>
      <x:c r="G150" s="37" t="str">
        <x:v>現行作法對「按產品與市場彙整測試、證書、聲明與版本」多靠人工彙整、個人經驗或事後處理，難以一致追蹤，造成決策延遲與重工。</x:v>
      </x:c>
      <x:c r="H150" s="37" t="str">
        <x:v>資料／事件接入；按產品與市場彙整測試、證書、聲明與版本；證據與信心呈現；例外分流與人工覆核；加速查驗與投標成效追蹤；完整稽核軌跡</x:v>
      </x:c>
      <x:c r="I150" s="37" t="str">
        <x:v>語意分類與實體抽取；風險／信心評分；具證據的生成與摘要；專門模型焦點：按產品與市場彙整測試、證書、聲明與版本</x:v>
      </x:c>
      <x:c r="J150" s="37" t="str">
        <x:v>持續監測事件，達門檻後建立案件、蒐集證據、指派責任並追蹤結案；高風險動作需人工核准</x:v>
      </x:c>
      <x:c r="K150" s="37" t="str">
        <x:v>L3 可執行／關鍵核准</x:v>
      </x:c>
      <x:c r="L150" s="37" t="str">
        <x:v>法規、合約、專利、產品規格、案件、義務、訴訟與董事會資料</x:v>
      </x:c>
      <x:c r="M150" s="37" t="str">
        <x:v>CLM、DMS、PLM、研發管理、ERP、法院與法規資料源</x:v>
      </x:c>
      <x:c r="N150" s="37" t="str">
        <x:v>跨國企業面對法規變更、專利布局與大量合約義務，需要從發現一路追到完成。Demo：匯入一組去識別資料，觸發「按產品與市場彙整測試、證書、聲明與版本」，由系統提出證據、建議與下一步；使用者核准後回寫任務，最後呈現「加速查驗與投標」前後差異。</x:v>
      </x:c>
      <x:c r="O150" s="37" t="str">
        <x:v>中低</x:v>
      </x:c>
      <x:c r="P150" s="37" t="str">
        <x:v>鄰近既有能力：原有可能有合約或法規模組；本群聚焦持續監測、證據分析與可執行義務閉環。本 App 的獨立邊界是「按產品與市場彙整測試、證書、聲明與版本」，主要產出為「加速查驗與投標」，不是一般登錄、查詢或看板。</x:v>
      </x:c>
      <x:c r="Q150" s="38" t="n">
        <x:v>5</x:v>
      </x:c>
      <x:c r="R150" s="38" t="n">
        <x:v>3</x:v>
      </x:c>
      <x:c r="S150" s="38" t="str">
        <x:v>P1</x:v>
      </x:c>
      <x:c r="T150" s="38" t="n">
        <x:v>7</x:v>
      </x:c>
      <x:c r="U150" s="39" t="str">
        <x:v>Wave 2 高價值套件</x:v>
      </x:c>
    </x:row>
    <x:row r="151" ht="86" customHeight="1">
      <x:c r="A151" s="36" t="str">
        <x:v>JV-147</x:v>
      </x:c>
      <x:c r="B151" s="37" t="str">
        <x:v>受限物質法規比對器</x:v>
      </x:c>
      <x:c r="C151" s="37" t="str">
        <x:v>法務／專利／合規</x:v>
      </x:c>
      <x:c r="D151" s="37" t="str">
        <x:v>出口與產品合規</x:v>
      </x:c>
      <x:c r="E151" s="37" t="str">
        <x:v>法務、智財、法遵、研發、董事會</x:v>
      </x:c>
      <x:c r="F151" s="37" t="str">
        <x:v>法務主管、專利工程師、法遵人員、公司治理人員</x:v>
      </x:c>
      <x:c r="G151" s="37" t="str">
        <x:v>現行作法對「把 BOM 與多國限用物質清單比對」多靠人工彙整、個人經驗或事後處理，難以一致追蹤，造成決策延遲與重工。</x:v>
      </x:c>
      <x:c r="H151" s="37" t="str">
        <x:v>資料／事件接入；把 BOM 與多國限用物質清單比對；證據與信心呈現；例外分流與人工覆核；提早發現材料風險成效追蹤；完整稽核軌跡</x:v>
      </x:c>
      <x:c r="I151" s="37" t="str">
        <x:v>預測與情境模擬；多目標最佳化；不確定性呈現；專門模型焦點：把 BOM 與多國限用物質清單比對</x:v>
      </x:c>
      <x:c r="J151" s="37" t="str">
        <x:v>定期掃描資料與外部訊號，提出優先序與建議；經核准後同步任務與更新來源系統</x:v>
      </x:c>
      <x:c r="K151" s="37" t="str">
        <x:v>L3 可執行／關鍵核准</x:v>
      </x:c>
      <x:c r="L151" s="37" t="str">
        <x:v>法規、合約、專利、產品規格、案件、義務、訴訟與董事會資料</x:v>
      </x:c>
      <x:c r="M151" s="37" t="str">
        <x:v>CLM、DMS、PLM、研發管理、ERP、法院與法規資料源</x:v>
      </x:c>
      <x:c r="N151" s="37" t="str">
        <x:v>跨國企業面對法規變更、專利布局與大量合約義務，需要從發現一路追到完成。Demo：匯入一組去識別資料，觸發「把 BOM 與多國限用物質清單比對」，由系統提出證據、建議與下一步；使用者核准後回寫任務，最後呈現「提早發現材料風險」前後差異。</x:v>
      </x:c>
      <x:c r="O151" s="37" t="str">
        <x:v>低</x:v>
      </x:c>
      <x:c r="P151" s="37" t="str">
        <x:v>鄰近既有能力：原有可能有合約或法規模組；本群聚焦持續監測、證據分析與可執行義務閉環。本 App 的獨立邊界是「把 BOM 與多國限用物質清單比對」，主要產出為「提早發現材料風險」，不是一般登錄、查詢或看板。</x:v>
      </x:c>
      <x:c r="Q151" s="38" t="n">
        <x:v>5</x:v>
      </x:c>
      <x:c r="R151" s="38" t="n">
        <x:v>4</x:v>
      </x:c>
      <x:c r="S151" s="38" t="str">
        <x:v>P1</x:v>
      </x:c>
      <x:c r="T151" s="38" t="n">
        <x:v>9</x:v>
      </x:c>
      <x:c r="U151" s="39" t="str">
        <x:v>Wave 2 高價值套件</x:v>
      </x:c>
    </x:row>
    <x:row r="152" ht="86" customHeight="1">
      <x:c r="A152" s="36" t="str">
        <x:v>JV-148</x:v>
      </x:c>
      <x:c r="B152" s="37" t="str">
        <x:v>產品標示合規檢查器</x:v>
      </x:c>
      <x:c r="C152" s="37" t="str">
        <x:v>法務／專利／合規</x:v>
      </x:c>
      <x:c r="D152" s="37" t="str">
        <x:v>出口與產品合規</x:v>
      </x:c>
      <x:c r="E152" s="37" t="str">
        <x:v>法務、智財、法遵、研發、董事會</x:v>
      </x:c>
      <x:c r="F152" s="37" t="str">
        <x:v>法務主管、專利工程師、法遵人員、公司治理人員</x:v>
      </x:c>
      <x:c r="G152" s="37" t="str">
        <x:v>現行作法對「檢查包裝、說明書與數位頁面的必備標示」多靠人工彙整、個人經驗或事後處理，難以一致追蹤，造成決策延遲與重工。</x:v>
      </x:c>
      <x:c r="H152" s="37" t="str">
        <x:v>資料／事件接入；檢查包裝、說明書與數位頁面的必備標示；證據與信心呈現；例外分流與人工覆核；避免上市退件成效追蹤；完整稽核軌跡</x:v>
      </x:c>
      <x:c r="I152" s="37" t="str">
        <x:v>跨文件／跨系統比對；圖譜推理；差異與缺口生成；專門模型焦點：檢查包裝、說明書與數位頁面的必備標示</x:v>
      </x:c>
      <x:c r="J152" s="37" t="str">
        <x:v>以人機協作模式先產生草案與證據包，接受修改後執行核准步驟並建立完整稽核軌跡</x:v>
      </x:c>
      <x:c r="K152" s="37" t="str">
        <x:v>L3 可執行／關鍵核准</x:v>
      </x:c>
      <x:c r="L152" s="37" t="str">
        <x:v>法規、合約、專利、產品規格、案件、義務、訴訟與董事會資料</x:v>
      </x:c>
      <x:c r="M152" s="37" t="str">
        <x:v>CLM、DMS、PLM、研發管理、ERP、法院與法規資料源</x:v>
      </x:c>
      <x:c r="N152" s="37" t="str">
        <x:v>跨國企業面對法規變更、專利布局與大量合約義務，需要從發現一路追到完成。Demo：匯入一組去識別資料，觸發「檢查包裝、說明書與數位頁面的必備標示」，由系統提出證據、建議與下一步；使用者核准後回寫任務，最後呈現「避免上市退件」前後差異。</x:v>
      </x:c>
      <x:c r="O152" s="37" t="str">
        <x:v>低</x:v>
      </x:c>
      <x:c r="P152" s="37" t="str">
        <x:v>鄰近既有能力：原有可能有合約或法規模組；本群聚焦持續監測、證據分析與可執行義務閉環。本 App 的獨立邊界是「檢查包裝、說明書與數位頁面的必備標示」，主要產出為「避免上市退件」，不是一般登錄、查詢或看板。</x:v>
      </x:c>
      <x:c r="Q152" s="38" t="n">
        <x:v>4</x:v>
      </x:c>
      <x:c r="R152" s="38" t="n">
        <x:v>4</x:v>
      </x:c>
      <x:c r="S152" s="38" t="str">
        <x:v>P1</x:v>
      </x:c>
      <x:c r="T152" s="38" t="n">
        <x:v>9</x:v>
      </x:c>
      <x:c r="U152" s="39" t="str">
        <x:v>Wave 2 高價值套件</x:v>
      </x:c>
    </x:row>
    <x:row r="153" ht="86" customHeight="1">
      <x:c r="A153" s="36" t="str">
        <x:v>JV-149</x:v>
      </x:c>
      <x:c r="B153" s="37" t="str">
        <x:v>禁運與制裁關聯篩查器</x:v>
      </x:c>
      <x:c r="C153" s="37" t="str">
        <x:v>法務／專利／合規</x:v>
      </x:c>
      <x:c r="D153" s="37" t="str">
        <x:v>出口與產品合規</x:v>
      </x:c>
      <x:c r="E153" s="37" t="str">
        <x:v>法務、智財、法遵、研發、董事會</x:v>
      </x:c>
      <x:c r="F153" s="37" t="str">
        <x:v>法務主管、專利工程師、法遵人員、公司治理人員</x:v>
      </x:c>
      <x:c r="G153" s="37" t="str">
        <x:v>現行作法對「穿透客戶、受益人與交易關係辨識制裁風險」多靠人工彙整、個人經驗或事後處理，難以一致追蹤，造成決策延遲與重工。</x:v>
      </x:c>
      <x:c r="H153" s="37" t="str">
        <x:v>資料／事件接入；穿透客戶、受益人與交易關係辨識制裁風險；證據與信心呈現；例外分流與人工覆核；阻止高風險交易成效追蹤；完整稽核軌跡</x:v>
      </x:c>
      <x:c r="I153" s="37" t="str">
        <x:v>異常偵測；因果線索分析；可解釋的建議排序；專門模型焦點：穿透客戶、受益人與交易關係辨識制裁風險</x:v>
      </x:c>
      <x:c r="J153" s="37" t="str">
        <x:v>依目標自主規劃步驟、呼叫核准工具、遇到例外改走人工佇列，完成後驗證結果並回報</x:v>
      </x:c>
      <x:c r="K153" s="37" t="str">
        <x:v>L3 可執行／關鍵核准</x:v>
      </x:c>
      <x:c r="L153" s="37" t="str">
        <x:v>法規、合約、專利、產品規格、案件、義務、訴訟與董事會資料</x:v>
      </x:c>
      <x:c r="M153" s="37" t="str">
        <x:v>CLM、DMS、PLM、研發管理、ERP、法院與法規資料源</x:v>
      </x:c>
      <x:c r="N153" s="37" t="str">
        <x:v>跨國企業面對法規變更、專利布局與大量合約義務，需要從發現一路追到完成。Demo：匯入一組去識別資料，觸發「穿透客戶、受益人與交易關係辨識制裁風險」，由系統提出證據、建議與下一步；使用者核准後回寫任務，最後呈現「阻止高風險交易」前後差異。</x:v>
      </x:c>
      <x:c r="O153" s="37" t="str">
        <x:v>低</x:v>
      </x:c>
      <x:c r="P153" s="37" t="str">
        <x:v>鄰近既有能力：原有可能有合約或法規模組；本群聚焦持續監測、證據分析與可執行義務閉環。本 App 的獨立邊界是「穿透客戶、受益人與交易關係辨識制裁風險」，主要產出為「阻止高風險交易」，不是一般登錄、查詢或看板。</x:v>
      </x:c>
      <x:c r="Q153" s="38" t="n">
        <x:v>5</x:v>
      </x:c>
      <x:c r="R153" s="38" t="n">
        <x:v>4</x:v>
      </x:c>
      <x:c r="S153" s="38" t="str">
        <x:v>P1</x:v>
      </x:c>
      <x:c r="T153" s="38" t="n">
        <x:v>9</x:v>
      </x:c>
      <x:c r="U153" s="39" t="str">
        <x:v>Wave 2 高價值套件</x:v>
      </x:c>
    </x:row>
    <x:row r="154" ht="86" customHeight="1">
      <x:c r="A154" s="36" t="str">
        <x:v>JV-150</x:v>
      </x:c>
      <x:c r="B154" s="37" t="str">
        <x:v>合規聲明草稿產生器</x:v>
      </x:c>
      <x:c r="C154" s="37" t="str">
        <x:v>法務／專利／合規</x:v>
      </x:c>
      <x:c r="D154" s="37" t="str">
        <x:v>出口與產品合規</x:v>
      </x:c>
      <x:c r="E154" s="37" t="str">
        <x:v>法務、智財、法遵、研發、董事會</x:v>
      </x:c>
      <x:c r="F154" s="37" t="str">
        <x:v>法務主管、專利工程師、法遵人員、公司治理人員</x:v>
      </x:c>
      <x:c r="G154" s="37" t="str">
        <x:v>現行作法對「依證據與市場要求產生可審核聲明」多靠人工彙整、個人經驗或事後處理，難以一致追蹤，造成決策延遲與重工。</x:v>
      </x:c>
      <x:c r="H154" s="37" t="str">
        <x:v>資料／事件接入；依證據與市場要求產生可審核聲明；證據與信心呈現；例外分流與人工覆核；縮短文件製作成效追蹤；完整稽核軌跡</x:v>
      </x:c>
      <x:c r="I154" s="37" t="str">
        <x:v>RAG 檢索與來源引用；規則＋模型混合判斷；矛盾檢查；專門模型焦點：依證據與市場要求產生可審核聲明</x:v>
      </x:c>
      <x:c r="J154" s="37" t="str">
        <x:v>與多個專業 Agent 協作拆解任務，保留交接證據、逾時升級並在失敗時安全回滾</x:v>
      </x:c>
      <x:c r="K154" s="37" t="str">
        <x:v>L2 建議／需核准</x:v>
      </x:c>
      <x:c r="L154" s="37" t="str">
        <x:v>法規、合約、專利、產品規格、案件、義務、訴訟與董事會資料</x:v>
      </x:c>
      <x:c r="M154" s="37" t="str">
        <x:v>CLM、DMS、PLM、研發管理、ERP、法院與法規資料源</x:v>
      </x:c>
      <x:c r="N154" s="37" t="str">
        <x:v>跨國企業面對法規變更、專利布局與大量合約義務，需要從發現一路追到完成。Demo：匯入一組去識別資料，觸發「依證據與市場要求產生可審核聲明」，由系統提出證據、建議與下一步；使用者核准後回寫任務，最後呈現「縮短文件製作」前後差異。</x:v>
      </x:c>
      <x:c r="O154" s="37" t="str">
        <x:v>中低</x:v>
      </x:c>
      <x:c r="P154" s="37" t="str">
        <x:v>鄰近既有能力：原有可能有合約或法規模組；本群聚焦持續監測、證據分析與可執行義務閉環。本 App 的獨立邊界是「依證據與市場要求產生可審核聲明」，主要產出為「縮短文件製作」，不是一般登錄、查詢或看板。</x:v>
      </x:c>
      <x:c r="Q154" s="38" t="n">
        <x:v>5</x:v>
      </x:c>
      <x:c r="R154" s="38" t="n">
        <x:v>5</x:v>
      </x:c>
      <x:c r="S154" s="38" t="str">
        <x:v>P1</x:v>
      </x:c>
      <x:c r="T154" s="38" t="n">
        <x:v>11</x:v>
      </x:c>
      <x:c r="U154" s="39" t="str">
        <x:v>Wave 2 高價值套件</x:v>
      </x:c>
    </x:row>
    <x:row r="155" ht="86" customHeight="1">
      <x:c r="A155" s="36" t="str">
        <x:v>JV-151</x:v>
      </x:c>
      <x:c r="B155" s="37" t="str">
        <x:v>混合辦公座位協調器</x:v>
      </x:c>
      <x:c r="C155" s="37" t="str">
        <x:v>行政／總務</x:v>
      </x:c>
      <x:c r="D155" s="37" t="str">
        <x:v>智慧空間</x:v>
      </x:c>
      <x:c r="E155" s="37" t="str">
        <x:v>行政、總務、職安、秘書室</x:v>
      </x:c>
      <x:c r="F155" s="37" t="str">
        <x:v>總務主管、行政人員、辦公室經理、員工</x:v>
      </x:c>
      <x:c r="G155" s="37" t="str">
        <x:v>現行作法對「依出勤、團隊與設備需求推薦座位」多靠人工彙整、個人經驗或事後處理，難以一致追蹤，造成決策延遲與重工。</x:v>
      </x:c>
      <x:c r="H155" s="37" t="str">
        <x:v>資料／事件接入；依出勤、團隊與設備需求推薦座位；證據與信心呈現；例外分流與人工覆核；提升協作與使用率成效追蹤；完整稽核軌跡</x:v>
      </x:c>
      <x:c r="I155" s="37" t="str">
        <x:v>語意分類與實體抽取；風險／信心評分；具證據的生成與摘要；專門模型焦點：依出勤、團隊與設備需求推薦座位</x:v>
      </x:c>
      <x:c r="J155" s="37" t="str">
        <x:v>持續監測事件，達門檻後建立案件、蒐集證據、指派責任並追蹤結案；高風險動作需人工核准</x:v>
      </x:c>
      <x:c r="K155" s="37" t="str">
        <x:v>L3 可執行／關鍵核准</x:v>
      </x:c>
      <x:c r="L155" s="37" t="str">
        <x:v>空間、訪客、印章、車輛、郵件、採購、服務請求與感測資料</x:v>
      </x:c>
      <x:c r="M155" s="37" t="str">
        <x:v>OA、門禁、HRM、電子簽核、IoT、行事曆、ERP</x:v>
      </x:c>
      <x:c r="N155" s="37" t="str">
        <x:v>多據點企業希望降低辦公資源浪費並讓行政服務可量化、可預測。Demo：匯入一組去識別資料，觸發「依出勤、團隊與設備需求推薦座位」，由系統提出證據、建議與下一步；使用者核准後回寫任務，最後呈現「提升協作與使用率」前後差異。</x:v>
      </x:c>
      <x:c r="O155" s="37" t="str">
        <x:v>中</x:v>
      </x:c>
      <x:c r="P155" s="37" t="str">
        <x:v>鄰近既有能力：原有行政管理可能涵蓋登記；本群聚焦預測、風險判斷與跨流程自動執行。本 App 的獨立邊界是「依出勤、團隊與設備需求推薦座位」，主要產出為「提升協作與使用率」，不是一般登錄、查詢或看板。</x:v>
      </x:c>
      <x:c r="Q155" s="38" t="n">
        <x:v>3</x:v>
      </x:c>
      <x:c r="R155" s="38" t="n">
        <x:v>2</x:v>
      </x:c>
      <x:c r="S155" s="38" t="str">
        <x:v>P2</x:v>
      </x:c>
      <x:c r="T155" s="38" t="n">
        <x:v>5</x:v>
      </x:c>
      <x:c r="U155" s="39" t="str">
        <x:v>Wave 3 垂直擴充</x:v>
      </x:c>
    </x:row>
    <x:row r="156" ht="86" customHeight="1">
      <x:c r="A156" s="36" t="str">
        <x:v>JV-152</x:v>
      </x:c>
      <x:c r="B156" s="37" t="str">
        <x:v>會議室失約釋放器</x:v>
      </x:c>
      <x:c r="C156" s="37" t="str">
        <x:v>行政／總務</x:v>
      </x:c>
      <x:c r="D156" s="37" t="str">
        <x:v>智慧空間</x:v>
      </x:c>
      <x:c r="E156" s="37" t="str">
        <x:v>行政、總務、職安、秘書室</x:v>
      </x:c>
      <x:c r="F156" s="37" t="str">
        <x:v>總務主管、行政人員、辦公室經理、員工</x:v>
      </x:c>
      <x:c r="G156" s="37" t="str">
        <x:v>現行作法對「預測 no-show 並自動提醒或釋放空間」多靠人工彙整、個人經驗或事後處理，難以一致追蹤，造成決策延遲與重工。</x:v>
      </x:c>
      <x:c r="H156" s="37" t="str">
        <x:v>資料／事件接入；預測 no-show 並自動提醒或釋放空間；證據與信心呈現；例外分流與人工覆核；減少空置成效追蹤；完整稽核軌跡</x:v>
      </x:c>
      <x:c r="I156" s="37" t="str">
        <x:v>預測與情境模擬；多目標最佳化；不確定性呈現；專門模型焦點：預測 no-show 並自動提醒或釋放空間</x:v>
      </x:c>
      <x:c r="J156" s="37" t="str">
        <x:v>定期掃描資料與外部訊號，提出優先序與建議；經核准後同步任務與更新來源系統</x:v>
      </x:c>
      <x:c r="K156" s="37" t="str">
        <x:v>L3 可執行／關鍵核准</x:v>
      </x:c>
      <x:c r="L156" s="37" t="str">
        <x:v>空間、訪客、印章、車輛、郵件、採購、服務請求與感測資料</x:v>
      </x:c>
      <x:c r="M156" s="37" t="str">
        <x:v>OA、門禁、HRM、電子簽核、IoT、行事曆、ERP</x:v>
      </x:c>
      <x:c r="N156" s="37" t="str">
        <x:v>多據點企業希望降低辦公資源浪費並讓行政服務可量化、可預測。Demo：匯入一組去識別資料，觸發「預測 no-show 並自動提醒或釋放空間」，由系統提出證據、建議與下一步；使用者核准後回寫任務，最後呈現「減少空置」前後差異。</x:v>
      </x:c>
      <x:c r="O156" s="37" t="str">
        <x:v>中低</x:v>
      </x:c>
      <x:c r="P156" s="37" t="str">
        <x:v>鄰近既有能力：原有行政管理可能涵蓋登記；本群聚焦預測、風險判斷與跨流程自動執行。本 App 的獨立邊界是「預測 no-show 並自動提醒或釋放空間」，主要產出為「減少空置」，不是一般登錄、查詢或看板。</x:v>
      </x:c>
      <x:c r="Q156" s="38" t="n">
        <x:v>3</x:v>
      </x:c>
      <x:c r="R156" s="38" t="n">
        <x:v>2</x:v>
      </x:c>
      <x:c r="S156" s="38" t="str">
        <x:v>P2</x:v>
      </x:c>
      <x:c r="T156" s="38" t="n">
        <x:v>5</x:v>
      </x:c>
      <x:c r="U156" s="39" t="str">
        <x:v>Wave 3 垂直擴充</x:v>
      </x:c>
    </x:row>
    <x:row r="157" ht="86" customHeight="1">
      <x:c r="A157" s="36" t="str">
        <x:v>JV-153</x:v>
      </x:c>
      <x:c r="B157" s="37" t="str">
        <x:v>辦公空間熱點分析器</x:v>
      </x:c>
      <x:c r="C157" s="37" t="str">
        <x:v>行政／總務</x:v>
      </x:c>
      <x:c r="D157" s="37" t="str">
        <x:v>智慧空間</x:v>
      </x:c>
      <x:c r="E157" s="37" t="str">
        <x:v>行政、總務、職安、秘書室</x:v>
      </x:c>
      <x:c r="F157" s="37" t="str">
        <x:v>總務主管、行政人員、辦公室經理、員工</x:v>
      </x:c>
      <x:c r="G157" s="37" t="str">
        <x:v>現行作法對「結合人流與預約找出擁擠及閒置區」多靠人工彙整、個人經驗或事後處理，難以一致追蹤，造成決策延遲與重工。</x:v>
      </x:c>
      <x:c r="H157" s="37" t="str">
        <x:v>資料／事件接入；結合人流與預約找出擁擠及閒置區；證據與信心呈現；例外分流與人工覆核；支援空間重配成效追蹤；完整稽核軌跡</x:v>
      </x:c>
      <x:c r="I157" s="37" t="str">
        <x:v>跨文件／跨系統比對；圖譜推理；差異與缺口生成；專門模型焦點：結合人流與預約找出擁擠及閒置區</x:v>
      </x:c>
      <x:c r="J157" s="37" t="str">
        <x:v>以人機協作模式先產生草案與證據包，接受修改後執行核准步驟並建立完整稽核軌跡</x:v>
      </x:c>
      <x:c r="K157" s="37" t="str">
        <x:v>L3 可執行／關鍵核准</x:v>
      </x:c>
      <x:c r="L157" s="37" t="str">
        <x:v>空間、訪客、印章、車輛、郵件、採購、服務請求與感測資料</x:v>
      </x:c>
      <x:c r="M157" s="37" t="str">
        <x:v>OA、門禁、HRM、電子簽核、IoT、行事曆、ERP</x:v>
      </x:c>
      <x:c r="N157" s="37" t="str">
        <x:v>多據點企業希望降低辦公資源浪費並讓行政服務可量化、可預測。Demo：匯入一組去識別資料，觸發「結合人流與預約找出擁擠及閒置區」，由系統提出證據、建議與下一步；使用者核准後回寫任務，最後呈現「支援空間重配」前後差異。</x:v>
      </x:c>
      <x:c r="O157" s="37" t="str">
        <x:v>中低</x:v>
      </x:c>
      <x:c r="P157" s="37" t="str">
        <x:v>鄰近既有能力：原有行政管理可能涵蓋登記；本群聚焦預測、風險判斷與跨流程自動執行。本 App 的獨立邊界是「結合人流與預約找出擁擠及閒置區」，主要產出為「支援空間重配」，不是一般登錄、查詢或看板。</x:v>
      </x:c>
      <x:c r="Q157" s="38" t="n">
        <x:v>3</x:v>
      </x:c>
      <x:c r="R157" s="38" t="n">
        <x:v>2</x:v>
      </x:c>
      <x:c r="S157" s="38" t="str">
        <x:v>P2</x:v>
      </x:c>
      <x:c r="T157" s="38" t="n">
        <x:v>5</x:v>
      </x:c>
      <x:c r="U157" s="39" t="str">
        <x:v>Wave 3 垂直擴充</x:v>
      </x:c>
    </x:row>
    <x:row r="158" ht="86" customHeight="1">
      <x:c r="A158" s="36" t="str">
        <x:v>JV-154</x:v>
      </x:c>
      <x:c r="B158" s="37" t="str">
        <x:v>無障礙設施導航助手</x:v>
      </x:c>
      <x:c r="C158" s="37" t="str">
        <x:v>行政／總務</x:v>
      </x:c>
      <x:c r="D158" s="37" t="str">
        <x:v>智慧空間</x:v>
      </x:c>
      <x:c r="E158" s="37" t="str">
        <x:v>行政、總務、職安、秘書室</x:v>
      </x:c>
      <x:c r="F158" s="37" t="str">
        <x:v>總務主管、行政人員、辦公室經理、員工</x:v>
      </x:c>
      <x:c r="G158" s="37" t="str">
        <x:v>現行作法對「按個人需求規劃通行、座位與會議安排」多靠人工彙整、個人經驗或事後處理，難以一致追蹤，造成決策延遲與重工。</x:v>
      </x:c>
      <x:c r="H158" s="37" t="str">
        <x:v>資料／事件接入；按個人需求規劃通行、座位與會議安排；證據與信心呈現；例外分流與人工覆核；提升可及性成效追蹤；完整稽核軌跡</x:v>
      </x:c>
      <x:c r="I158" s="37" t="str">
        <x:v>異常偵測；因果線索分析；可解釋的建議排序；專門模型焦點：按個人需求規劃通行、座位與會議安排</x:v>
      </x:c>
      <x:c r="J158" s="37" t="str">
        <x:v>依目標自主規劃步驟、呼叫核准工具、遇到例外改走人工佇列，完成後驗證結果並回報</x:v>
      </x:c>
      <x:c r="K158" s="37" t="str">
        <x:v>L3 可執行／關鍵核准</x:v>
      </x:c>
      <x:c r="L158" s="37" t="str">
        <x:v>空間、訪客、印章、車輛、郵件、採購、服務請求與感測資料</x:v>
      </x:c>
      <x:c r="M158" s="37" t="str">
        <x:v>OA、門禁、HRM、電子簽核、IoT、行事曆、ERP</x:v>
      </x:c>
      <x:c r="N158" s="37" t="str">
        <x:v>多據點企業希望降低辦公資源浪費並讓行政服務可量化、可預測。Demo：匯入一組去識別資料，觸發「按個人需求規劃通行、座位與會議安排」，由系統提出證據、建議與下一步；使用者核准後回寫任務，最後呈現「提升可及性」前後差異。</x:v>
      </x:c>
      <x:c r="O158" s="37" t="str">
        <x:v>中</x:v>
      </x:c>
      <x:c r="P158" s="37" t="str">
        <x:v>鄰近既有能力：原有行政管理可能涵蓋登記；本群聚焦預測、風險判斷與跨流程自動執行。本 App 的獨立邊界是「按個人需求規劃通行、座位與會議安排」，主要產出為「提升可及性」，不是一般登錄、查詢或看板。</x:v>
      </x:c>
      <x:c r="Q158" s="38" t="n">
        <x:v>2</x:v>
      </x:c>
      <x:c r="R158" s="38" t="n">
        <x:v>2</x:v>
      </x:c>
      <x:c r="S158" s="38" t="str">
        <x:v>P2</x:v>
      </x:c>
      <x:c r="T158" s="38" t="n">
        <x:v>5</x:v>
      </x:c>
      <x:c r="U158" s="39" t="str">
        <x:v>Wave 3 垂直擴充</x:v>
      </x:c>
    </x:row>
    <x:row r="159" ht="86" customHeight="1">
      <x:c r="A159" s="36" t="str">
        <x:v>JV-155</x:v>
      </x:c>
      <x:c r="B159" s="37" t="str">
        <x:v>搬遷情境模擬器</x:v>
      </x:c>
      <x:c r="C159" s="37" t="str">
        <x:v>行政／總務</x:v>
      </x:c>
      <x:c r="D159" s="37" t="str">
        <x:v>智慧空間</x:v>
      </x:c>
      <x:c r="E159" s="37" t="str">
        <x:v>行政、總務、職安、秘書室</x:v>
      </x:c>
      <x:c r="F159" s="37" t="str">
        <x:v>總務主管、行政人員、辦公室經理、員工</x:v>
      </x:c>
      <x:c r="G159" s="37" t="str">
        <x:v>現行作法對「模擬人數、租金、通勤與協作影響」多靠人工彙整、個人經驗或事後處理，難以一致追蹤，造成決策延遲與重工。</x:v>
      </x:c>
      <x:c r="H159" s="37" t="str">
        <x:v>資料／事件接入；模擬人數、租金、通勤與協作影響；證據與信心呈現；例外分流與人工覆核；支援據點決策成效追蹤；完整稽核軌跡</x:v>
      </x:c>
      <x:c r="I159" s="37" t="str">
        <x:v>RAG 檢索與來源引用；規則＋模型混合判斷；矛盾檢查；專門模型焦點：模擬人數、租金、通勤與協作影響</x:v>
      </x:c>
      <x:c r="J159" s="37" t="str">
        <x:v>與多個專業 Agent 協作拆解任務，保留交接證據、逾時升級並在失敗時安全回滾</x:v>
      </x:c>
      <x:c r="K159" s="37" t="str">
        <x:v>L3 可執行／關鍵核准</x:v>
      </x:c>
      <x:c r="L159" s="37" t="str">
        <x:v>空間、訪客、印章、車輛、郵件、採購、服務請求與感測資料</x:v>
      </x:c>
      <x:c r="M159" s="37" t="str">
        <x:v>OA、門禁、HRM、電子簽核、IoT、行事曆、ERP</x:v>
      </x:c>
      <x:c r="N159" s="37" t="str">
        <x:v>多據點企業希望降低辦公資源浪費並讓行政服務可量化、可預測。Demo：匯入一組去識別資料，觸發「模擬人數、租金、通勤與協作影響」，由系統提出證據、建議與下一步；使用者核准後回寫任務，最後呈現「支援據點決策」前後差異。</x:v>
      </x:c>
      <x:c r="O159" s="37" t="str">
        <x:v>中低</x:v>
      </x:c>
      <x:c r="P159" s="37" t="str">
        <x:v>鄰近既有能力：原有行政管理可能涵蓋登記；本群聚焦預測、風險判斷與跨流程自動執行。本 App 的獨立邊界是「模擬人數、租金、通勤與協作影響」，主要產出為「支援據點決策」，不是一般登錄、查詢或看板。</x:v>
      </x:c>
      <x:c r="Q159" s="38" t="n">
        <x:v>3</x:v>
      </x:c>
      <x:c r="R159" s="38" t="n">
        <x:v>3</x:v>
      </x:c>
      <x:c r="S159" s="38" t="str">
        <x:v>P2</x:v>
      </x:c>
      <x:c r="T159" s="38" t="n">
        <x:v>7</x:v>
      </x:c>
      <x:c r="U159" s="39" t="str">
        <x:v>Wave 3 垂直擴充</x:v>
      </x:c>
    </x:row>
    <x:row r="160" ht="86" customHeight="1">
      <x:c r="A160" s="36" t="str">
        <x:v>JV-156</x:v>
      </x:c>
      <x:c r="B160" s="37" t="str">
        <x:v>訪客風險預審台</x:v>
      </x:c>
      <x:c r="C160" s="37" t="str">
        <x:v>行政／總務</x:v>
      </x:c>
      <x:c r="D160" s="37" t="str">
        <x:v>訪客與接待</x:v>
      </x:c>
      <x:c r="E160" s="37" t="str">
        <x:v>行政、總務、職安、秘書室</x:v>
      </x:c>
      <x:c r="F160" s="37" t="str">
        <x:v>總務主管、行政人員、辦公室經理、員工</x:v>
      </x:c>
      <x:c r="G160" s="37" t="str">
        <x:v>現行作法對「依身分、來源、目的與區域進行分級」多靠人工彙整、個人經驗或事後處理，難以一致追蹤，造成決策延遲與重工。</x:v>
      </x:c>
      <x:c r="H160" s="37" t="str">
        <x:v>資料／事件接入；依身分、來源、目的與區域進行分級；證據與信心呈現；例外分流與人工覆核；加速安全放行成效追蹤；完整稽核軌跡</x:v>
      </x:c>
      <x:c r="I160" s="37" t="str">
        <x:v>語意分類與實體抽取；風險／信心評分；具證據的生成與摘要；專門模型焦點：依身分、來源、目的與區域進行分級</x:v>
      </x:c>
      <x:c r="J160" s="37" t="str">
        <x:v>持續監測事件，達門檻後建立案件、蒐集證據、指派責任並追蹤結案；高風險動作需人工核准</x:v>
      </x:c>
      <x:c r="K160" s="37" t="str">
        <x:v>L3 可執行／關鍵核准</x:v>
      </x:c>
      <x:c r="L160" s="37" t="str">
        <x:v>空間、訪客、印章、車輛、郵件、採購、服務請求與感測資料</x:v>
      </x:c>
      <x:c r="M160" s="37" t="str">
        <x:v>OA、門禁、HRM、電子簽核、IoT、行事曆、ERP</x:v>
      </x:c>
      <x:c r="N160" s="37" t="str">
        <x:v>多據點企業希望降低辦公資源浪費並讓行政服務可量化、可預測。Demo：匯入一組去識別資料，觸發「依身分、來源、目的與區域進行分級」，由系統提出證據、建議與下一步；使用者核准後回寫任務，最後呈現「加速安全放行」前後差異。</x:v>
      </x:c>
      <x:c r="O160" s="37" t="str">
        <x:v>中</x:v>
      </x:c>
      <x:c r="P160" s="37" t="str">
        <x:v>鄰近既有能力：原有行政管理可能涵蓋登記；本群聚焦預測、風險判斷與跨流程自動執行。本 App 的獨立邊界是「依身分、來源、目的與區域進行分級」，主要產出為「加速安全放行」，不是一般登錄、查詢或看板。</x:v>
      </x:c>
      <x:c r="Q160" s="38" t="n">
        <x:v>3</x:v>
      </x:c>
      <x:c r="R160" s="38" t="n">
        <x:v>2</x:v>
      </x:c>
      <x:c r="S160" s="38" t="str">
        <x:v>P2</x:v>
      </x:c>
      <x:c r="T160" s="38" t="n">
        <x:v>5</x:v>
      </x:c>
      <x:c r="U160" s="39" t="str">
        <x:v>Wave 3 垂直擴充</x:v>
      </x:c>
    </x:row>
    <x:row r="161" ht="86" customHeight="1">
      <x:c r="A161" s="36" t="str">
        <x:v>JV-157</x:v>
      </x:c>
      <x:c r="B161" s="37" t="str">
        <x:v>多語接待 Agent</x:v>
      </x:c>
      <x:c r="C161" s="37" t="str">
        <x:v>行政／總務</x:v>
      </x:c>
      <x:c r="D161" s="37" t="str">
        <x:v>訪客與接待</x:v>
      </x:c>
      <x:c r="E161" s="37" t="str">
        <x:v>行政、總務、職安、秘書室</x:v>
      </x:c>
      <x:c r="F161" s="37" t="str">
        <x:v>總務主管、行政人員、辦公室經理、員工</x:v>
      </x:c>
      <x:c r="G161" s="37" t="str">
        <x:v>現行作法對「完成報到、通知、導覽與常見問答」多靠人工彙整、個人經驗或事後處理，難以一致追蹤，造成決策延遲與重工。</x:v>
      </x:c>
      <x:c r="H161" s="37" t="str">
        <x:v>資料／事件接入；完成報到、通知、導覽與常見問答；證據與信心呈現；例外分流與人工覆核；減少櫃台負擔成效追蹤；完整稽核軌跡</x:v>
      </x:c>
      <x:c r="I161" s="37" t="str">
        <x:v>預測與情境模擬；多目標最佳化；不確定性呈現；專門模型焦點：完成報到、通知、導覽與常見問答</x:v>
      </x:c>
      <x:c r="J161" s="37" t="str">
        <x:v>定期掃描資料與外部訊號，提出優先序與建議；經核准後同步任務與更新來源系統</x:v>
      </x:c>
      <x:c r="K161" s="37" t="str">
        <x:v>L3 可執行／關鍵核准</x:v>
      </x:c>
      <x:c r="L161" s="37" t="str">
        <x:v>空間、訪客、印章、車輛、郵件、採購、服務請求與感測資料</x:v>
      </x:c>
      <x:c r="M161" s="37" t="str">
        <x:v>OA、門禁、HRM、電子簽核、IoT、行事曆、ERP</x:v>
      </x:c>
      <x:c r="N161" s="37" t="str">
        <x:v>多據點企業希望降低辦公資源浪費並讓行政服務可量化、可預測。Demo：匯入一組去識別資料，觸發「完成報到、通知、導覽與常見問答」，由系統提出證據、建議與下一步；使用者核准後回寫任務，最後呈現「減少櫃台負擔」前後差異。</x:v>
      </x:c>
      <x:c r="O161" s="37" t="str">
        <x:v>中低</x:v>
      </x:c>
      <x:c r="P161" s="37" t="str">
        <x:v>鄰近既有能力：原有行政管理可能涵蓋登記；本群聚焦預測、風險判斷與跨流程自動執行。本 App 的獨立邊界是「完成報到、通知、導覽與常見問答」，主要產出為「減少櫃台負擔」，不是一般登錄、查詢或看板。</x:v>
      </x:c>
      <x:c r="Q161" s="38" t="n">
        <x:v>3</x:v>
      </x:c>
      <x:c r="R161" s="38" t="n">
        <x:v>2</x:v>
      </x:c>
      <x:c r="S161" s="38" t="str">
        <x:v>P2</x:v>
      </x:c>
      <x:c r="T161" s="38" t="n">
        <x:v>5</x:v>
      </x:c>
      <x:c r="U161" s="39" t="str">
        <x:v>Wave 3 垂直擴充</x:v>
      </x:c>
    </x:row>
    <x:row r="162" ht="86" customHeight="1">
      <x:c r="A162" s="36" t="str">
        <x:v>JV-158</x:v>
      </x:c>
      <x:c r="B162" s="37" t="str">
        <x:v>承攬商入場資格守門員</x:v>
      </x:c>
      <x:c r="C162" s="37" t="str">
        <x:v>行政／總務</x:v>
      </x:c>
      <x:c r="D162" s="37" t="str">
        <x:v>訪客與接待</x:v>
      </x:c>
      <x:c r="E162" s="37" t="str">
        <x:v>行政、總務、職安、秘書室</x:v>
      </x:c>
      <x:c r="F162" s="37" t="str">
        <x:v>總務主管、行政人員、辦公室經理、員工</x:v>
      </x:c>
      <x:c r="G162" s="37" t="str">
        <x:v>現行作法對「核對保險、訓練、證照與工作許可」多靠人工彙整、個人經驗或事後處理，難以一致追蹤，造成決策延遲與重工。</x:v>
      </x:c>
      <x:c r="H162" s="37" t="str">
        <x:v>資料／事件接入；核對保險、訓練、證照與工作許可；證據與信心呈現；例外分流與人工覆核；避免不合格入場成效追蹤；完整稽核軌跡</x:v>
      </x:c>
      <x:c r="I162" s="37" t="str">
        <x:v>跨文件／跨系統比對；圖譜推理；差異與缺口生成；專門模型焦點：核對保險、訓練、證照與工作許可</x:v>
      </x:c>
      <x:c r="J162" s="37" t="str">
        <x:v>以人機協作模式先產生草案與證據包，接受修改後執行核准步驟並建立完整稽核軌跡</x:v>
      </x:c>
      <x:c r="K162" s="37" t="str">
        <x:v>L3 可執行／關鍵核准</x:v>
      </x:c>
      <x:c r="L162" s="37" t="str">
        <x:v>空間、訪客、印章、車輛、郵件、採購、服務請求與感測資料</x:v>
      </x:c>
      <x:c r="M162" s="37" t="str">
        <x:v>OA、門禁、HRM、電子簽核、IoT、行事曆、ERP</x:v>
      </x:c>
      <x:c r="N162" s="37" t="str">
        <x:v>多據點企業希望降低辦公資源浪費並讓行政服務可量化、可預測。Demo：匯入一組去識別資料，觸發「核對保險、訓練、證照與工作許可」，由系統提出證據、建議與下一步；使用者核准後回寫任務，最後呈現「避免不合格入場」前後差異。</x:v>
      </x:c>
      <x:c r="O162" s="37" t="str">
        <x:v>中低</x:v>
      </x:c>
      <x:c r="P162" s="37" t="str">
        <x:v>鄰近既有能力：原有行政管理可能涵蓋登記；本群聚焦預測、風險判斷與跨流程自動執行。本 App 的獨立邊界是「核對保險、訓練、證照與工作許可」，主要產出為「避免不合格入場」，不是一般登錄、查詢或看板。</x:v>
      </x:c>
      <x:c r="Q162" s="38" t="n">
        <x:v>3</x:v>
      </x:c>
      <x:c r="R162" s="38" t="n">
        <x:v>2</x:v>
      </x:c>
      <x:c r="S162" s="38" t="str">
        <x:v>P2</x:v>
      </x:c>
      <x:c r="T162" s="38" t="n">
        <x:v>5</x:v>
      </x:c>
      <x:c r="U162" s="39" t="str">
        <x:v>Wave 3 垂直擴充</x:v>
      </x:c>
    </x:row>
    <x:row r="163" ht="86" customHeight="1">
      <x:c r="A163" s="36" t="str">
        <x:v>JV-159</x:v>
      </x:c>
      <x:c r="B163" s="37" t="str">
        <x:v>重要賓客行程協調器</x:v>
      </x:c>
      <x:c r="C163" s="37" t="str">
        <x:v>行政／總務</x:v>
      </x:c>
      <x:c r="D163" s="37" t="str">
        <x:v>訪客與接待</x:v>
      </x:c>
      <x:c r="E163" s="37" t="str">
        <x:v>行政、總務、職安、秘書室</x:v>
      </x:c>
      <x:c r="F163" s="37" t="str">
        <x:v>總務主管、行政人員、辦公室經理、員工</x:v>
      </x:c>
      <x:c r="G163" s="37" t="str">
        <x:v>現行作法對「跨會議、交通、餐飲與接待人員編排」多靠人工彙整、個人經驗或事後處理，難以一致追蹤，造成決策延遲與重工。</x:v>
      </x:c>
      <x:c r="H163" s="37" t="str">
        <x:v>資料／事件接入；跨會議、交通、餐飲與接待人員編排；證據與信心呈現；例外分流與人工覆核；降低接待遺漏成效追蹤；完整稽核軌跡</x:v>
      </x:c>
      <x:c r="I163" s="37" t="str">
        <x:v>異常偵測；因果線索分析；可解釋的建議排序；專門模型焦點：跨會議、交通、餐飲與接待人員編排</x:v>
      </x:c>
      <x:c r="J163" s="37" t="str">
        <x:v>依目標自主規劃步驟、呼叫核准工具、遇到例外改走人工佇列，完成後驗證結果並回報</x:v>
      </x:c>
      <x:c r="K163" s="37" t="str">
        <x:v>L3 可執行／關鍵核准</x:v>
      </x:c>
      <x:c r="L163" s="37" t="str">
        <x:v>空間、訪客、印章、車輛、郵件、採購、服務請求與感測資料</x:v>
      </x:c>
      <x:c r="M163" s="37" t="str">
        <x:v>OA、門禁、HRM、電子簽核、IoT、行事曆、ERP</x:v>
      </x:c>
      <x:c r="N163" s="37" t="str">
        <x:v>多據點企業希望降低辦公資源浪費並讓行政服務可量化、可預測。Demo：匯入一組去識別資料，觸發「跨會議、交通、餐飲與接待人員編排」，由系統提出證據、建議與下一步；使用者核准後回寫任務，最後呈現「降低接待遺漏」前後差異。</x:v>
      </x:c>
      <x:c r="O163" s="37" t="str">
        <x:v>中</x:v>
      </x:c>
      <x:c r="P163" s="37" t="str">
        <x:v>鄰近既有能力：原有行政管理可能涵蓋登記；本群聚焦預測、風險判斷與跨流程自動執行。本 App 的獨立邊界是「跨會議、交通、餐飲與接待人員編排」，主要產出為「降低接待遺漏」，不是一般登錄、查詢或看板。</x:v>
      </x:c>
      <x:c r="Q163" s="38" t="n">
        <x:v>3</x:v>
      </x:c>
      <x:c r="R163" s="38" t="n">
        <x:v>2</x:v>
      </x:c>
      <x:c r="S163" s="38" t="str">
        <x:v>P2</x:v>
      </x:c>
      <x:c r="T163" s="38" t="n">
        <x:v>5</x:v>
      </x:c>
      <x:c r="U163" s="39" t="str">
        <x:v>Wave 3 垂直擴充</x:v>
      </x:c>
    </x:row>
    <x:row r="164" ht="86" customHeight="1">
      <x:c r="A164" s="36" t="str">
        <x:v>JV-160</x:v>
      </x:c>
      <x:c r="B164" s="37" t="str">
        <x:v>訪客滯留異常偵測器</x:v>
      </x:c>
      <x:c r="C164" s="37" t="str">
        <x:v>行政／總務</x:v>
      </x:c>
      <x:c r="D164" s="37" t="str">
        <x:v>訪客與接待</x:v>
      </x:c>
      <x:c r="E164" s="37" t="str">
        <x:v>行政、總務、職安、秘書室</x:v>
      </x:c>
      <x:c r="F164" s="37" t="str">
        <x:v>總務主管、行政人員、辦公室經理、員工</x:v>
      </x:c>
      <x:c r="G164" s="37" t="str">
        <x:v>現行作法對「辨識逾時、偏離區域與未簽退情形」多靠人工彙整、個人經驗或事後處理，難以一致追蹤，造成決策延遲與重工。</x:v>
      </x:c>
      <x:c r="H164" s="37" t="str">
        <x:v>資料／事件接入；辨識逾時、偏離區域與未簽退情形；證據與信心呈現；例外分流與人工覆核；提升場域安全成效追蹤；完整稽核軌跡</x:v>
      </x:c>
      <x:c r="I164" s="37" t="str">
        <x:v>RAG 檢索與來源引用；規則＋模型混合判斷；矛盾檢查；專門模型焦點：辨識逾時、偏離區域與未簽退情形</x:v>
      </x:c>
      <x:c r="J164" s="37" t="str">
        <x:v>與多個專業 Agent 協作拆解任務，保留交接證據、逾時升級並在失敗時安全回滾</x:v>
      </x:c>
      <x:c r="K164" s="37" t="str">
        <x:v>L3 可執行／關鍵核准</x:v>
      </x:c>
      <x:c r="L164" s="37" t="str">
        <x:v>空間、訪客、印章、車輛、郵件、採購、服務請求與感測資料</x:v>
      </x:c>
      <x:c r="M164" s="37" t="str">
        <x:v>OA、門禁、HRM、電子簽核、IoT、行事曆、ERP</x:v>
      </x:c>
      <x:c r="N164" s="37" t="str">
        <x:v>多據點企業希望降低辦公資源浪費並讓行政服務可量化、可預測。Demo：匯入一組去識別資料，觸發「辨識逾時、偏離區域與未簽退情形」，由系統提出證據、建議與下一步；使用者核准後回寫任務，最後呈現「提升場域安全」前後差異。</x:v>
      </x:c>
      <x:c r="O164" s="37" t="str">
        <x:v>中低</x:v>
      </x:c>
      <x:c r="P164" s="37" t="str">
        <x:v>鄰近既有能力：原有行政管理可能涵蓋登記；本群聚焦預測、風險判斷與跨流程自動執行。本 App 的獨立邊界是「辨識逾時、偏離區域與未簽退情形」，主要產出為「提升場域安全」，不是一般登錄、查詢或看板。</x:v>
      </x:c>
      <x:c r="Q164" s="38" t="n">
        <x:v>2</x:v>
      </x:c>
      <x:c r="R164" s="38" t="n">
        <x:v>3</x:v>
      </x:c>
      <x:c r="S164" s="38" t="str">
        <x:v>P2</x:v>
      </x:c>
      <x:c r="T164" s="38" t="n">
        <x:v>7</x:v>
      </x:c>
      <x:c r="U164" s="39" t="str">
        <x:v>Wave 3 垂直擴充</x:v>
      </x:c>
    </x:row>
    <x:row r="165" ht="86" customHeight="1">
      <x:c r="A165" s="36" t="str">
        <x:v>JV-161</x:v>
      </x:c>
      <x:c r="B165" s="37" t="str">
        <x:v>印章用印風險判讀器</x:v>
      </x:c>
      <x:c r="C165" s="37" t="str">
        <x:v>行政／總務</x:v>
      </x:c>
      <x:c r="D165" s="37" t="str">
        <x:v>印章與簽署</x:v>
      </x:c>
      <x:c r="E165" s="37" t="str">
        <x:v>行政、總務、職安、秘書室</x:v>
      </x:c>
      <x:c r="F165" s="37" t="str">
        <x:v>總務主管、行政人員、辦公室經理、員工</x:v>
      </x:c>
      <x:c r="G165" s="37" t="str">
        <x:v>現行作法對「依文件、金額、對象與授權評估風險」多靠人工彙整、個人經驗或事後處理，難以一致追蹤，造成決策延遲與重工。</x:v>
      </x:c>
      <x:c r="H165" s="37" t="str">
        <x:v>資料／事件接入；依文件、金額、對象與授權評估風險；證據與信心呈現；例外分流與人工覆核；聚焦高風險複核成效追蹤；完整稽核軌跡</x:v>
      </x:c>
      <x:c r="I165" s="37" t="str">
        <x:v>語意分類與實體抽取；風險／信心評分；具證據的生成與摘要；專門模型焦點：依文件、金額、對象與授權評估風險</x:v>
      </x:c>
      <x:c r="J165" s="37" t="str">
        <x:v>持續監測事件，達門檻後建立案件、蒐集證據、指派責任並追蹤結案；高風險動作需人工核准</x:v>
      </x:c>
      <x:c r="K165" s="37" t="str">
        <x:v>L3 可執行／關鍵核准</x:v>
      </x:c>
      <x:c r="L165" s="37" t="str">
        <x:v>空間、訪客、印章、車輛、郵件、採購、服務請求與感測資料</x:v>
      </x:c>
      <x:c r="M165" s="37" t="str">
        <x:v>OA、門禁、HRM、電子簽核、IoT、行事曆、ERP</x:v>
      </x:c>
      <x:c r="N165" s="37" t="str">
        <x:v>多據點企業希望降低辦公資源浪費並讓行政服務可量化、可預測。Demo：匯入一組去識別資料，觸發「依文件、金額、對象與授權評估風險」，由系統提出證據、建議與下一步；使用者核准後回寫任務，最後呈現「聚焦高風險複核」前後差異。</x:v>
      </x:c>
      <x:c r="O165" s="37" t="str">
        <x:v>中</x:v>
      </x:c>
      <x:c r="P165" s="37" t="str">
        <x:v>鄰近既有能力：原有行政管理可能涵蓋登記；本群聚焦預測、風險判斷與跨流程自動執行。本 App 的獨立邊界是「依文件、金額、對象與授權評估風險」，主要產出為「聚焦高風險複核」，不是一般登錄、查詢或看板。</x:v>
      </x:c>
      <x:c r="Q165" s="38" t="n">
        <x:v>3</x:v>
      </x:c>
      <x:c r="R165" s="38" t="n">
        <x:v>2</x:v>
      </x:c>
      <x:c r="S165" s="38" t="str">
        <x:v>P2</x:v>
      </x:c>
      <x:c r="T165" s="38" t="n">
        <x:v>5</x:v>
      </x:c>
      <x:c r="U165" s="39" t="str">
        <x:v>Wave 3 垂直擴充</x:v>
      </x:c>
    </x:row>
    <x:row r="166" ht="86" customHeight="1">
      <x:c r="A166" s="36" t="str">
        <x:v>JV-162</x:v>
      </x:c>
      <x:c r="B166" s="37" t="str">
        <x:v>簽署權限一致性檢查器</x:v>
      </x:c>
      <x:c r="C166" s="37" t="str">
        <x:v>行政／總務</x:v>
      </x:c>
      <x:c r="D166" s="37" t="str">
        <x:v>印章與簽署</x:v>
      </x:c>
      <x:c r="E166" s="37" t="str">
        <x:v>行政、總務、職安、秘書室</x:v>
      </x:c>
      <x:c r="F166" s="37" t="str">
        <x:v>總務主管、行政人員、辦公室經理、員工</x:v>
      </x:c>
      <x:c r="G166" s="37" t="str">
        <x:v>現行作法對「比對授權矩陣、職務與合約簽署人」多靠人工彙整、個人經驗或事後處理，難以一致追蹤，造成決策延遲與重工。</x:v>
      </x:c>
      <x:c r="H166" s="37" t="str">
        <x:v>資料／事件接入；比對授權矩陣、職務與合約簽署人；證據與信心呈現；例外分流與人工覆核；避免無權代理成效追蹤；完整稽核軌跡</x:v>
      </x:c>
      <x:c r="I166" s="37" t="str">
        <x:v>預測與情境模擬；多目標最佳化；不確定性呈現；專門模型焦點：比對授權矩陣、職務與合約簽署人</x:v>
      </x:c>
      <x:c r="J166" s="37" t="str">
        <x:v>定期掃描資料與外部訊號，提出優先序與建議；經核准後同步任務與更新來源系統</x:v>
      </x:c>
      <x:c r="K166" s="37" t="str">
        <x:v>L3 可執行／關鍵核准</x:v>
      </x:c>
      <x:c r="L166" s="37" t="str">
        <x:v>空間、訪客、印章、車輛、郵件、採購、服務請求與感測資料</x:v>
      </x:c>
      <x:c r="M166" s="37" t="str">
        <x:v>OA、門禁、HRM、電子簽核、IoT、行事曆、ERP</x:v>
      </x:c>
      <x:c r="N166" s="37" t="str">
        <x:v>多據點企業希望降低辦公資源浪費並讓行政服務可量化、可預測。Demo：匯入一組去識別資料，觸發「比對授權矩陣、職務與合約簽署人」，由系統提出證據、建議與下一步；使用者核准後回寫任務，最後呈現「避免無權代理」前後差異。</x:v>
      </x:c>
      <x:c r="O166" s="37" t="str">
        <x:v>中低</x:v>
      </x:c>
      <x:c r="P166" s="37" t="str">
        <x:v>鄰近既有能力：原有行政管理可能涵蓋登記；本群聚焦預測、風險判斷與跨流程自動執行。本 App 的獨立邊界是「比對授權矩陣、職務與合約簽署人」，主要產出為「避免無權代理」，不是一般登錄、查詢或看板。</x:v>
      </x:c>
      <x:c r="Q166" s="38" t="n">
        <x:v>3</x:v>
      </x:c>
      <x:c r="R166" s="38" t="n">
        <x:v>2</x:v>
      </x:c>
      <x:c r="S166" s="38" t="str">
        <x:v>P2</x:v>
      </x:c>
      <x:c r="T166" s="38" t="n">
        <x:v>5</x:v>
      </x:c>
      <x:c r="U166" s="39" t="str">
        <x:v>Wave 3 垂直擴充</x:v>
      </x:c>
    </x:row>
    <x:row r="167" ht="86" customHeight="1">
      <x:c r="A167" s="36" t="str">
        <x:v>JV-163</x:v>
      </x:c>
      <x:c r="B167" s="37" t="str">
        <x:v>用印文件防竄改驗證器</x:v>
      </x:c>
      <x:c r="C167" s="37" t="str">
        <x:v>行政／總務</x:v>
      </x:c>
      <x:c r="D167" s="37" t="str">
        <x:v>印章與簽署</x:v>
      </x:c>
      <x:c r="E167" s="37" t="str">
        <x:v>行政、總務、職安、秘書室</x:v>
      </x:c>
      <x:c r="F167" s="37" t="str">
        <x:v>總務主管、行政人員、辦公室經理、員工</x:v>
      </x:c>
      <x:c r="G167" s="37" t="str">
        <x:v>現行作法對「保存雜湊並核對用印前後內容」多靠人工彙整、個人經驗或事後處理，難以一致追蹤，造成決策延遲與重工。</x:v>
      </x:c>
      <x:c r="H167" s="37" t="str">
        <x:v>資料／事件接入；保存雜湊並核對用印前後內容；證據與信心呈現；例外分流與人工覆核；確保版本一致成效追蹤；完整稽核軌跡</x:v>
      </x:c>
      <x:c r="I167" s="37" t="str">
        <x:v>跨文件／跨系統比對；圖譜推理；差異與缺口生成；專門模型焦點：保存雜湊並核對用印前後內容</x:v>
      </x:c>
      <x:c r="J167" s="37" t="str">
        <x:v>以人機協作模式先產生草案與證據包，接受修改後執行核准步驟並建立完整稽核軌跡</x:v>
      </x:c>
      <x:c r="K167" s="37" t="str">
        <x:v>L3 可執行／關鍵核准</x:v>
      </x:c>
      <x:c r="L167" s="37" t="str">
        <x:v>空間、訪客、印章、車輛、郵件、採購、服務請求與感測資料</x:v>
      </x:c>
      <x:c r="M167" s="37" t="str">
        <x:v>OA、門禁、HRM、電子簽核、IoT、行事曆、ERP</x:v>
      </x:c>
      <x:c r="N167" s="37" t="str">
        <x:v>多據點企業希望降低辦公資源浪費並讓行政服務可量化、可預測。Demo：匯入一組去識別資料，觸發「保存雜湊並核對用印前後內容」，由系統提出證據、建議與下一步；使用者核准後回寫任務，最後呈現「確保版本一致」前後差異。</x:v>
      </x:c>
      <x:c r="O167" s="37" t="str">
        <x:v>中低</x:v>
      </x:c>
      <x:c r="P167" s="37" t="str">
        <x:v>鄰近既有能力：原有行政管理可能涵蓋登記；本群聚焦預測、風險判斷與跨流程自動執行。本 App 的獨立邊界是「保存雜湊並核對用印前後內容」，主要產出為「確保版本一致」，不是一般登錄、查詢或看板。</x:v>
      </x:c>
      <x:c r="Q167" s="38" t="n">
        <x:v>3</x:v>
      </x:c>
      <x:c r="R167" s="38" t="n">
        <x:v>2</x:v>
      </x:c>
      <x:c r="S167" s="38" t="str">
        <x:v>P2</x:v>
      </x:c>
      <x:c r="T167" s="38" t="n">
        <x:v>5</x:v>
      </x:c>
      <x:c r="U167" s="39" t="str">
        <x:v>Wave 3 垂直擴充</x:v>
      </x:c>
    </x:row>
    <x:row r="168" ht="86" customHeight="1">
      <x:c r="A168" s="36" t="str">
        <x:v>JV-164</x:v>
      </x:c>
      <x:c r="B168" s="37" t="str">
        <x:v>跨據點印章調度器</x:v>
      </x:c>
      <x:c r="C168" s="37" t="str">
        <x:v>行政／總務</x:v>
      </x:c>
      <x:c r="D168" s="37" t="str">
        <x:v>印章與簽署</x:v>
      </x:c>
      <x:c r="E168" s="37" t="str">
        <x:v>行政、總務、職安、秘書室</x:v>
      </x:c>
      <x:c r="F168" s="37" t="str">
        <x:v>總務主管、行政人員、辦公室經理、員工</x:v>
      </x:c>
      <x:c r="G168" s="37" t="str">
        <x:v>現行作法對「安排借用、運送、保管與歸還」多靠人工彙整、個人經驗或事後處理，難以一致追蹤，造成決策延遲與重工。</x:v>
      </x:c>
      <x:c r="H168" s="37" t="str">
        <x:v>資料／事件接入；安排借用、運送、保管與歸還；證據與信心呈現；例外分流與人工覆核；降低遺失與延誤成效追蹤；完整稽核軌跡</x:v>
      </x:c>
      <x:c r="I168" s="37" t="str">
        <x:v>異常偵測；因果線索分析；可解釋的建議排序；專門模型焦點：安排借用、運送、保管與歸還</x:v>
      </x:c>
      <x:c r="J168" s="37" t="str">
        <x:v>依目標自主規劃步驟、呼叫核准工具、遇到例外改走人工佇列，完成後驗證結果並回報</x:v>
      </x:c>
      <x:c r="K168" s="37" t="str">
        <x:v>L3 可執行／關鍵核准</x:v>
      </x:c>
      <x:c r="L168" s="37" t="str">
        <x:v>空間、訪客、印章、車輛、郵件、採購、服務請求與感測資料</x:v>
      </x:c>
      <x:c r="M168" s="37" t="str">
        <x:v>OA、門禁、HRM、電子簽核、IoT、行事曆、ERP</x:v>
      </x:c>
      <x:c r="N168" s="37" t="str">
        <x:v>多據點企業希望降低辦公資源浪費並讓行政服務可量化、可預測。Demo：匯入一組去識別資料，觸發「安排借用、運送、保管與歸還」，由系統提出證據、建議與下一步；使用者核准後回寫任務，最後呈現「降低遺失與延誤」前後差異。</x:v>
      </x:c>
      <x:c r="O168" s="37" t="str">
        <x:v>中</x:v>
      </x:c>
      <x:c r="P168" s="37" t="str">
        <x:v>鄰近既有能力：原有行政管理可能涵蓋登記；本群聚焦預測、風險判斷與跨流程自動執行。本 App 的獨立邊界是「安排借用、運送、保管與歸還」，主要產出為「降低遺失與延誤」，不是一般登錄、查詢或看板。</x:v>
      </x:c>
      <x:c r="Q168" s="38" t="n">
        <x:v>3</x:v>
      </x:c>
      <x:c r="R168" s="38" t="n">
        <x:v>2</x:v>
      </x:c>
      <x:c r="S168" s="38" t="str">
        <x:v>P2</x:v>
      </x:c>
      <x:c r="T168" s="38" t="n">
        <x:v>5</x:v>
      </x:c>
      <x:c r="U168" s="39" t="str">
        <x:v>Wave 3 垂直擴充</x:v>
      </x:c>
    </x:row>
    <x:row r="169" ht="86" customHeight="1">
      <x:c r="A169" s="36" t="str">
        <x:v>JV-165</x:v>
      </x:c>
      <x:c r="B169" s="37" t="str">
        <x:v>電子簽與實體章選擇助手</x:v>
      </x:c>
      <x:c r="C169" s="37" t="str">
        <x:v>行政／總務</x:v>
      </x:c>
      <x:c r="D169" s="37" t="str">
        <x:v>印章與簽署</x:v>
      </x:c>
      <x:c r="E169" s="37" t="str">
        <x:v>行政、總務、職安、秘書室</x:v>
      </x:c>
      <x:c r="F169" s="37" t="str">
        <x:v>總務主管、行政人員、辦公室經理、員工</x:v>
      </x:c>
      <x:c r="G169" s="37" t="str">
        <x:v>現行作法對「依文件類型、地區與對方要求推薦方式」多靠人工彙整、個人經驗或事後處理，難以一致追蹤，造成決策延遲與重工。</x:v>
      </x:c>
      <x:c r="H169" s="37" t="str">
        <x:v>資料／事件接入；依文件類型、地區與對方要求推薦方式；證據與信心呈現；例外分流與人工覆核；縮短簽署週期成效追蹤；完整稽核軌跡</x:v>
      </x:c>
      <x:c r="I169" s="37" t="str">
        <x:v>RAG 檢索與來源引用；規則＋模型混合判斷；矛盾檢查；專門模型焦點：依文件類型、地區與對方要求推薦方式</x:v>
      </x:c>
      <x:c r="J169" s="37" t="str">
        <x:v>與多個專業 Agent 協作拆解任務，保留交接證據、逾時升級並在失敗時安全回滾</x:v>
      </x:c>
      <x:c r="K169" s="37" t="str">
        <x:v>L3 可執行／關鍵核准</x:v>
      </x:c>
      <x:c r="L169" s="37" t="str">
        <x:v>空間、訪客、印章、車輛、郵件、採購、服務請求與感測資料</x:v>
      </x:c>
      <x:c r="M169" s="37" t="str">
        <x:v>OA、門禁、HRM、電子簽核、IoT、行事曆、ERP</x:v>
      </x:c>
      <x:c r="N169" s="37" t="str">
        <x:v>多據點企業希望降低辦公資源浪費並讓行政服務可量化、可預測。Demo：匯入一組去識別資料，觸發「依文件類型、地區與對方要求推薦方式」，由系統提出證據、建議與下一步；使用者核准後回寫任務，最後呈現「縮短簽署週期」前後差異。</x:v>
      </x:c>
      <x:c r="O169" s="37" t="str">
        <x:v>中低</x:v>
      </x:c>
      <x:c r="P169" s="37" t="str">
        <x:v>鄰近既有能力：原有行政管理可能涵蓋登記；本群聚焦預測、風險判斷與跨流程自動執行。本 App 的獨立邊界是「依文件類型、地區與對方要求推薦方式」，主要產出為「縮短簽署週期」，不是一般登錄、查詢或看板。</x:v>
      </x:c>
      <x:c r="Q169" s="38" t="n">
        <x:v>3</x:v>
      </x:c>
      <x:c r="R169" s="38" t="n">
        <x:v>3</x:v>
      </x:c>
      <x:c r="S169" s="38" t="str">
        <x:v>P2</x:v>
      </x:c>
      <x:c r="T169" s="38" t="n">
        <x:v>7</x:v>
      </x:c>
      <x:c r="U169" s="39" t="str">
        <x:v>Wave 3 垂直擴充</x:v>
      </x:c>
    </x:row>
    <x:row r="170" ht="86" customHeight="1">
      <x:c r="A170" s="36" t="str">
        <x:v>JV-166</x:v>
      </x:c>
      <x:c r="B170" s="37" t="str">
        <x:v>公務車共享排程器</x:v>
      </x:c>
      <x:c r="C170" s="37" t="str">
        <x:v>行政／總務</x:v>
      </x:c>
      <x:c r="D170" s="37" t="str">
        <x:v>車隊與差旅</x:v>
      </x:c>
      <x:c r="E170" s="37" t="str">
        <x:v>行政、總務、職安、秘書室</x:v>
      </x:c>
      <x:c r="F170" s="37" t="str">
        <x:v>總務主管、行政人員、辦公室經理、員工</x:v>
      </x:c>
      <x:c r="G170" s="37" t="str">
        <x:v>現行作法對「依地點、乘員、路線與優先級合併派車」多靠人工彙整、個人經驗或事後處理，難以一致追蹤，造成決策延遲與重工。</x:v>
      </x:c>
      <x:c r="H170" s="37" t="str">
        <x:v>資料／事件接入；依地點、乘員、路線與優先級合併派車；證據與信心呈現；例外分流與人工覆核；提高使用率成效追蹤；完整稽核軌跡</x:v>
      </x:c>
      <x:c r="I170" s="37" t="str">
        <x:v>語意分類與實體抽取；風險／信心評分；具證據的生成與摘要；專門模型焦點：依地點、乘員、路線與優先級合併派車</x:v>
      </x:c>
      <x:c r="J170" s="37" t="str">
        <x:v>持續監測事件，達門檻後建立案件、蒐集證據、指派責任並追蹤結案；高風險動作需人工核准</x:v>
      </x:c>
      <x:c r="K170" s="37" t="str">
        <x:v>L3 可執行／關鍵核准</x:v>
      </x:c>
      <x:c r="L170" s="37" t="str">
        <x:v>空間、訪客、印章、車輛、郵件、採購、服務請求與感測資料</x:v>
      </x:c>
      <x:c r="M170" s="37" t="str">
        <x:v>OA、門禁、HRM、電子簽核、IoT、行事曆、ERP</x:v>
      </x:c>
      <x:c r="N170" s="37" t="str">
        <x:v>多據點企業希望降低辦公資源浪費並讓行政服務可量化、可預測。Demo：匯入一組去識別資料，觸發「依地點、乘員、路線與優先級合併派車」，由系統提出證據、建議與下一步；使用者核准後回寫任務，最後呈現「提高使用率」前後差異。</x:v>
      </x:c>
      <x:c r="O170" s="37" t="str">
        <x:v>中</x:v>
      </x:c>
      <x:c r="P170" s="37" t="str">
        <x:v>鄰近既有能力：原有行政管理可能涵蓋登記；本群聚焦預測、風險判斷與跨流程自動執行。本 App 的獨立邊界是「依地點、乘員、路線與優先級合併派車」，主要產出為「提高使用率」，不是一般登錄、查詢或看板。</x:v>
      </x:c>
      <x:c r="Q170" s="38" t="n">
        <x:v>3</x:v>
      </x:c>
      <x:c r="R170" s="38" t="n">
        <x:v>2</x:v>
      </x:c>
      <x:c r="S170" s="38" t="str">
        <x:v>P2</x:v>
      </x:c>
      <x:c r="T170" s="38" t="n">
        <x:v>5</x:v>
      </x:c>
      <x:c r="U170" s="39" t="str">
        <x:v>Wave 3 垂直擴充</x:v>
      </x:c>
    </x:row>
    <x:row r="171" ht="86" customHeight="1">
      <x:c r="A171" s="36" t="str">
        <x:v>JV-167</x:v>
      </x:c>
      <x:c r="B171" s="37" t="str">
        <x:v>員工差旅風險雷達</x:v>
      </x:c>
      <x:c r="C171" s="37" t="str">
        <x:v>行政／總務</x:v>
      </x:c>
      <x:c r="D171" s="37" t="str">
        <x:v>車隊與差旅</x:v>
      </x:c>
      <x:c r="E171" s="37" t="str">
        <x:v>行政、總務、職安、秘書室</x:v>
      </x:c>
      <x:c r="F171" s="37" t="str">
        <x:v>總務主管、行政人員、辦公室經理、員工</x:v>
      </x:c>
      <x:c r="G171" s="37" t="str">
        <x:v>現行作法對「監測目的地安全、天候、疫情與罷工」多靠人工彙整、個人經驗或事後處理，難以一致追蹤，造成決策延遲與重工。</x:v>
      </x:c>
      <x:c r="H171" s="37" t="str">
        <x:v>資料／事件接入；監測目的地安全、天候、疫情與罷工；證據與信心呈現；例外分流與人工覆核；及時調整行程成效追蹤；完整稽核軌跡</x:v>
      </x:c>
      <x:c r="I171" s="37" t="str">
        <x:v>預測與情境模擬；多目標最佳化；不確定性呈現；專門模型焦點：監測目的地安全、天候、疫情與罷工</x:v>
      </x:c>
      <x:c r="J171" s="37" t="str">
        <x:v>定期掃描資料與外部訊號，提出優先序與建議；經核准後同步任務與更新來源系統</x:v>
      </x:c>
      <x:c r="K171" s="37" t="str">
        <x:v>L3 可執行／關鍵核准</x:v>
      </x:c>
      <x:c r="L171" s="37" t="str">
        <x:v>空間、訪客、印章、車輛、郵件、採購、服務請求與感測資料</x:v>
      </x:c>
      <x:c r="M171" s="37" t="str">
        <x:v>OA、門禁、HRM、電子簽核、IoT、行事曆、ERP</x:v>
      </x:c>
      <x:c r="N171" s="37" t="str">
        <x:v>多據點企業希望降低辦公資源浪費並讓行政服務可量化、可預測。Demo：匯入一組去識別資料，觸發「監測目的地安全、天候、疫情與罷工」，由系統提出證據、建議與下一步；使用者核准後回寫任務，最後呈現「及時調整行程」前後差異。</x:v>
      </x:c>
      <x:c r="O171" s="37" t="str">
        <x:v>中低</x:v>
      </x:c>
      <x:c r="P171" s="37" t="str">
        <x:v>鄰近既有能力：原有行政管理可能涵蓋登記；本群聚焦預測、風險判斷與跨流程自動執行。本 App 的獨立邊界是「監測目的地安全、天候、疫情與罷工」，主要產出為「及時調整行程」，不是一般登錄、查詢或看板。</x:v>
      </x:c>
      <x:c r="Q171" s="38" t="n">
        <x:v>3</x:v>
      </x:c>
      <x:c r="R171" s="38" t="n">
        <x:v>2</x:v>
      </x:c>
      <x:c r="S171" s="38" t="str">
        <x:v>P2</x:v>
      </x:c>
      <x:c r="T171" s="38" t="n">
        <x:v>5</x:v>
      </x:c>
      <x:c r="U171" s="39" t="str">
        <x:v>Wave 3 垂直擴充</x:v>
      </x:c>
    </x:row>
    <x:row r="172" ht="86" customHeight="1">
      <x:c r="A172" s="36" t="str">
        <x:v>JV-168</x:v>
      </x:c>
      <x:c r="B172" s="37" t="str">
        <x:v>差旅政策即時守門員</x:v>
      </x:c>
      <x:c r="C172" s="37" t="str">
        <x:v>行政／總務</x:v>
      </x:c>
      <x:c r="D172" s="37" t="str">
        <x:v>車隊與差旅</x:v>
      </x:c>
      <x:c r="E172" s="37" t="str">
        <x:v>行政、總務、職安、秘書室</x:v>
      </x:c>
      <x:c r="F172" s="37" t="str">
        <x:v>總務主管、行政人員、辦公室經理、員工</x:v>
      </x:c>
      <x:c r="G172" s="37" t="str">
        <x:v>現行作法對「預訂時判斷艙等、住宿與例外核准」多靠人工彙整、個人經驗或事後處理，難以一致追蹤，造成決策延遲與重工。</x:v>
      </x:c>
      <x:c r="H172" s="37" t="str">
        <x:v>資料／事件接入；預訂時判斷艙等、住宿與例外核准；證據與信心呈現；例外分流與人工覆核；降低違規支出成效追蹤；完整稽核軌跡</x:v>
      </x:c>
      <x:c r="I172" s="37" t="str">
        <x:v>跨文件／跨系統比對；圖譜推理；差異與缺口生成；專門模型焦點：預訂時判斷艙等、住宿與例外核准</x:v>
      </x:c>
      <x:c r="J172" s="37" t="str">
        <x:v>以人機協作模式先產生草案與證據包，接受修改後執行核准步驟並建立完整稽核軌跡</x:v>
      </x:c>
      <x:c r="K172" s="37" t="str">
        <x:v>L3 可執行／關鍵核准</x:v>
      </x:c>
      <x:c r="L172" s="37" t="str">
        <x:v>空間、訪客、印章、車輛、郵件、採購、服務請求與感測資料</x:v>
      </x:c>
      <x:c r="M172" s="37" t="str">
        <x:v>OA、門禁、HRM、電子簽核、IoT、行事曆、ERP</x:v>
      </x:c>
      <x:c r="N172" s="37" t="str">
        <x:v>多據點企業希望降低辦公資源浪費並讓行政服務可量化、可預測。Demo：匯入一組去識別資料，觸發「預訂時判斷艙等、住宿與例外核准」，由系統提出證據、建議與下一步；使用者核准後回寫任務，最後呈現「降低違規支出」前後差異。</x:v>
      </x:c>
      <x:c r="O172" s="37" t="str">
        <x:v>中低</x:v>
      </x:c>
      <x:c r="P172" s="37" t="str">
        <x:v>鄰近既有能力：原有行政管理可能涵蓋登記；本群聚焦預測、風險判斷與跨流程自動執行。本 App 的獨立邊界是「預訂時判斷艙等、住宿與例外核准」，主要產出為「降低違規支出」，不是一般登錄、查詢或看板。</x:v>
      </x:c>
      <x:c r="Q172" s="38" t="n">
        <x:v>3</x:v>
      </x:c>
      <x:c r="R172" s="38" t="n">
        <x:v>2</x:v>
      </x:c>
      <x:c r="S172" s="38" t="str">
        <x:v>P2</x:v>
      </x:c>
      <x:c r="T172" s="38" t="n">
        <x:v>5</x:v>
      </x:c>
      <x:c r="U172" s="39" t="str">
        <x:v>Wave 3 垂直擴充</x:v>
      </x:c>
    </x:row>
    <x:row r="173" ht="86" customHeight="1">
      <x:c r="A173" s="36" t="str">
        <x:v>JV-169</x:v>
      </x:c>
      <x:c r="B173" s="37" t="str">
        <x:v>通勤碳排選擇助手</x:v>
      </x:c>
      <x:c r="C173" s="37" t="str">
        <x:v>行政／總務</x:v>
      </x:c>
      <x:c r="D173" s="37" t="str">
        <x:v>車隊與差旅</x:v>
      </x:c>
      <x:c r="E173" s="37" t="str">
        <x:v>行政、總務、職安、秘書室</x:v>
      </x:c>
      <x:c r="F173" s="37" t="str">
        <x:v>總務主管、行政人員、辦公室經理、員工</x:v>
      </x:c>
      <x:c r="G173" s="37" t="str">
        <x:v>現行作法對「比較交通時間、費用與碳排」多靠人工彙整、個人經驗或事後處理，難以一致追蹤，造成決策延遲與重工。</x:v>
      </x:c>
      <x:c r="H173" s="37" t="str">
        <x:v>資料／事件接入；比較交通時間、費用與碳排；證據與信心呈現；例外分流與人工覆核；支持低碳移動成效追蹤；完整稽核軌跡</x:v>
      </x:c>
      <x:c r="I173" s="37" t="str">
        <x:v>異常偵測；因果線索分析；可解釋的建議排序；專門模型焦點：比較交通時間、費用與碳排</x:v>
      </x:c>
      <x:c r="J173" s="37" t="str">
        <x:v>依目標自主規劃步驟、呼叫核准工具、遇到例外改走人工佇列，完成後驗證結果並回報</x:v>
      </x:c>
      <x:c r="K173" s="37" t="str">
        <x:v>L3 可執行／關鍵核准</x:v>
      </x:c>
      <x:c r="L173" s="37" t="str">
        <x:v>空間、訪客、印章、車輛、郵件、採購、服務請求與感測資料</x:v>
      </x:c>
      <x:c r="M173" s="37" t="str">
        <x:v>OA、門禁、HRM、電子簽核、IoT、行事曆、ERP</x:v>
      </x:c>
      <x:c r="N173" s="37" t="str">
        <x:v>多據點企業希望降低辦公資源浪費並讓行政服務可量化、可預測。Demo：匯入一組去識別資料，觸發「比較交通時間、費用與碳排」，由系統提出證據、建議與下一步；使用者核准後回寫任務，最後呈現「支持低碳移動」前後差異。</x:v>
      </x:c>
      <x:c r="O173" s="37" t="str">
        <x:v>中</x:v>
      </x:c>
      <x:c r="P173" s="37" t="str">
        <x:v>鄰近既有能力：原有行政管理可能涵蓋登記；本群聚焦預測、風險判斷與跨流程自動執行。本 App 的獨立邊界是「比較交通時間、費用與碳排」，主要產出為「支持低碳移動」，不是一般登錄、查詢或看板。</x:v>
      </x:c>
      <x:c r="Q173" s="38" t="n">
        <x:v>3</x:v>
      </x:c>
      <x:c r="R173" s="38" t="n">
        <x:v>2</x:v>
      </x:c>
      <x:c r="S173" s="38" t="str">
        <x:v>P2</x:v>
      </x:c>
      <x:c r="T173" s="38" t="n">
        <x:v>5</x:v>
      </x:c>
      <x:c r="U173" s="39" t="str">
        <x:v>Wave 3 垂直擴充</x:v>
      </x:c>
    </x:row>
    <x:row r="174" ht="86" customHeight="1">
      <x:c r="A174" s="36" t="str">
        <x:v>JV-170</x:v>
      </x:c>
      <x:c r="B174" s="37" t="str">
        <x:v>駕駛疲勞風險排班器</x:v>
      </x:c>
      <x:c r="C174" s="37" t="str">
        <x:v>行政／總務</x:v>
      </x:c>
      <x:c r="D174" s="37" t="str">
        <x:v>車隊與差旅</x:v>
      </x:c>
      <x:c r="E174" s="37" t="str">
        <x:v>行政、總務、職安、秘書室</x:v>
      </x:c>
      <x:c r="F174" s="37" t="str">
        <x:v>總務主管、行政人員、辦公室經理、員工</x:v>
      </x:c>
      <x:c r="G174" s="37" t="str">
        <x:v>現行作法對「依工時、路程與時段調整駕駛任務」多靠人工彙整、個人經驗或事後處理，難以一致追蹤，造成決策延遲與重工。</x:v>
      </x:c>
      <x:c r="H174" s="37" t="str">
        <x:v>資料／事件接入；依工時、路程與時段調整駕駛任務；證據與信心呈現；例外分流與人工覆核；降低事故風險成效追蹤；完整稽核軌跡</x:v>
      </x:c>
      <x:c r="I174" s="37" t="str">
        <x:v>RAG 檢索與來源引用；規則＋模型混合判斷；矛盾檢查；專門模型焦點：依工時、路程與時段調整駕駛任務</x:v>
      </x:c>
      <x:c r="J174" s="37" t="str">
        <x:v>與多個專業 Agent 協作拆解任務，保留交接證據、逾時升級並在失敗時安全回滾</x:v>
      </x:c>
      <x:c r="K174" s="37" t="str">
        <x:v>L3 可執行／關鍵核准</x:v>
      </x:c>
      <x:c r="L174" s="37" t="str">
        <x:v>空間、訪客、印章、車輛、郵件、採購、服務請求與感測資料</x:v>
      </x:c>
      <x:c r="M174" s="37" t="str">
        <x:v>OA、門禁、HRM、電子簽核、IoT、行事曆、ERP</x:v>
      </x:c>
      <x:c r="N174" s="37" t="str">
        <x:v>多據點企業希望降低辦公資源浪費並讓行政服務可量化、可預測。Demo：匯入一組去識別資料，觸發「依工時、路程與時段調整駕駛任務」，由系統提出證據、建議與下一步；使用者核准後回寫任務，最後呈現「降低事故風險」前後差異。</x:v>
      </x:c>
      <x:c r="O174" s="37" t="str">
        <x:v>中低</x:v>
      </x:c>
      <x:c r="P174" s="37" t="str">
        <x:v>鄰近既有能力：原有行政管理可能涵蓋登記；本群聚焦預測、風險判斷與跨流程自動執行。本 App 的獨立邊界是「依工時、路程與時段調整駕駛任務」，主要產出為「降低事故風險」，不是一般登錄、查詢或看板。</x:v>
      </x:c>
      <x:c r="Q174" s="38" t="n">
        <x:v>3</x:v>
      </x:c>
      <x:c r="R174" s="38" t="n">
        <x:v>3</x:v>
      </x:c>
      <x:c r="S174" s="38" t="str">
        <x:v>P2</x:v>
      </x:c>
      <x:c r="T174" s="38" t="n">
        <x:v>7</x:v>
      </x:c>
      <x:c r="U174" s="39" t="str">
        <x:v>Wave 3 垂直擴充</x:v>
      </x:c>
    </x:row>
    <x:row r="175" ht="86" customHeight="1">
      <x:c r="A175" s="36" t="str">
        <x:v>JV-171</x:v>
      </x:c>
      <x:c r="B175" s="37" t="str">
        <x:v>企業收發室辨識分流器</x:v>
      </x:c>
      <x:c r="C175" s="37" t="str">
        <x:v>行政／總務</x:v>
      </x:c>
      <x:c r="D175" s="37" t="str">
        <x:v>郵件與物品</x:v>
      </x:c>
      <x:c r="E175" s="37" t="str">
        <x:v>行政、總務、職安、秘書室</x:v>
      </x:c>
      <x:c r="F175" s="37" t="str">
        <x:v>總務主管、行政人員、辦公室經理、員工</x:v>
      </x:c>
      <x:c r="G175" s="37" t="str">
        <x:v>現行作法對「辨識包裹、收件人、保密等級並通知」多靠人工彙整、個人經驗或事後處理，難以一致追蹤，造成決策延遲與重工。</x:v>
      </x:c>
      <x:c r="H175" s="37" t="str">
        <x:v>資料／事件接入；辨識包裹、收件人、保密等級並通知；證據與信心呈現；例外分流與人工覆核；減少錯送成效追蹤；完整稽核軌跡</x:v>
      </x:c>
      <x:c r="I175" s="37" t="str">
        <x:v>語意分類與實體抽取；風險／信心評分；具證據的生成與摘要；專門模型焦點：辨識包裹、收件人、保密等級並通知</x:v>
      </x:c>
      <x:c r="J175" s="37" t="str">
        <x:v>持續監測事件，達門檻後建立案件、蒐集證據、指派責任並追蹤結案；高風險動作需人工核准</x:v>
      </x:c>
      <x:c r="K175" s="37" t="str">
        <x:v>L3 可執行／關鍵核准</x:v>
      </x:c>
      <x:c r="L175" s="37" t="str">
        <x:v>空間、訪客、印章、車輛、郵件、採購、服務請求與感測資料</x:v>
      </x:c>
      <x:c r="M175" s="37" t="str">
        <x:v>OA、門禁、HRM、電子簽核、IoT、行事曆、ERP</x:v>
      </x:c>
      <x:c r="N175" s="37" t="str">
        <x:v>多據點企業希望降低辦公資源浪費並讓行政服務可量化、可預測。Demo：匯入一組去識別資料，觸發「辨識包裹、收件人、保密等級並通知」，由系統提出證據、建議與下一步；使用者核准後回寫任務，最後呈現「減少錯送」前後差異。</x:v>
      </x:c>
      <x:c r="O175" s="37" t="str">
        <x:v>中</x:v>
      </x:c>
      <x:c r="P175" s="37" t="str">
        <x:v>鄰近既有能力：原有行政管理可能涵蓋登記；本群聚焦預測、風險判斷與跨流程自動執行。本 App 的獨立邊界是「辨識包裹、收件人、保密等級並通知」，主要產出為「減少錯送」，不是一般登錄、查詢或看板。</x:v>
      </x:c>
      <x:c r="Q175" s="38" t="n">
        <x:v>2</x:v>
      </x:c>
      <x:c r="R175" s="38" t="n">
        <x:v>2</x:v>
      </x:c>
      <x:c r="S175" s="38" t="str">
        <x:v>P2</x:v>
      </x:c>
      <x:c r="T175" s="38" t="n">
        <x:v>5</x:v>
      </x:c>
      <x:c r="U175" s="39" t="str">
        <x:v>Wave 3 垂直擴充</x:v>
      </x:c>
    </x:row>
    <x:row r="176" ht="86" customHeight="1">
      <x:c r="A176" s="36" t="str">
        <x:v>JV-172</x:v>
      </x:c>
      <x:c r="B176" s="37" t="str">
        <x:v>逾期領件追蹤 Agent</x:v>
      </x:c>
      <x:c r="C176" s="37" t="str">
        <x:v>行政／總務</x:v>
      </x:c>
      <x:c r="D176" s="37" t="str">
        <x:v>郵件與物品</x:v>
      </x:c>
      <x:c r="E176" s="37" t="str">
        <x:v>行政、總務、職安、秘書室</x:v>
      </x:c>
      <x:c r="F176" s="37" t="str">
        <x:v>總務主管、行政人員、辦公室經理、員工</x:v>
      </x:c>
      <x:c r="G176" s="37" t="str">
        <x:v>現行作法對「自動提醒、升級並安排退件或代領」多靠人工彙整、個人經驗或事後處理，難以一致追蹤，造成決策延遲與重工。</x:v>
      </x:c>
      <x:c r="H176" s="37" t="str">
        <x:v>資料／事件接入；自動提醒、升級並安排退件或代領；證據與信心呈現；例外分流與人工覆核；降低堆積成效追蹤；完整稽核軌跡</x:v>
      </x:c>
      <x:c r="I176" s="37" t="str">
        <x:v>預測與情境模擬；多目標最佳化；不確定性呈現；專門模型焦點：自動提醒、升級並安排退件或代領</x:v>
      </x:c>
      <x:c r="J176" s="37" t="str">
        <x:v>定期掃描資料與外部訊號，提出優先序與建議；經核准後同步任務與更新來源系統</x:v>
      </x:c>
      <x:c r="K176" s="37" t="str">
        <x:v>L3 可執行／關鍵核准</x:v>
      </x:c>
      <x:c r="L176" s="37" t="str">
        <x:v>空間、訪客、印章、車輛、郵件、採購、服務請求與感測資料</x:v>
      </x:c>
      <x:c r="M176" s="37" t="str">
        <x:v>OA、門禁、HRM、電子簽核、IoT、行事曆、ERP</x:v>
      </x:c>
      <x:c r="N176" s="37" t="str">
        <x:v>多據點企業希望降低辦公資源浪費並讓行政服務可量化、可預測。Demo：匯入一組去識別資料，觸發「自動提醒、升級並安排退件或代領」，由系統提出證據、建議與下一步；使用者核准後回寫任務，最後呈現「降低堆積」前後差異。</x:v>
      </x:c>
      <x:c r="O176" s="37" t="str">
        <x:v>中低</x:v>
      </x:c>
      <x:c r="P176" s="37" t="str">
        <x:v>鄰近既有能力：原有行政管理可能涵蓋登記；本群聚焦預測、風險判斷與跨流程自動執行。本 App 的獨立邊界是「自動提醒、升級並安排退件或代領」，主要產出為「降低堆積」，不是一般登錄、查詢或看板。</x:v>
      </x:c>
      <x:c r="Q176" s="38" t="n">
        <x:v>3</x:v>
      </x:c>
      <x:c r="R176" s="38" t="n">
        <x:v>2</x:v>
      </x:c>
      <x:c r="S176" s="38" t="str">
        <x:v>P2</x:v>
      </x:c>
      <x:c r="T176" s="38" t="n">
        <x:v>5</x:v>
      </x:c>
      <x:c r="U176" s="39" t="str">
        <x:v>Wave 3 垂直擴充</x:v>
      </x:c>
    </x:row>
    <x:row r="177" ht="86" customHeight="1">
      <x:c r="A177" s="36" t="str">
        <x:v>JV-173</x:v>
      </x:c>
      <x:c r="B177" s="37" t="str">
        <x:v>敏感文件寄送守門員</x:v>
      </x:c>
      <x:c r="C177" s="37" t="str">
        <x:v>行政／總務</x:v>
      </x:c>
      <x:c r="D177" s="37" t="str">
        <x:v>郵件與物品</x:v>
      </x:c>
      <x:c r="E177" s="37" t="str">
        <x:v>行政、總務、職安、秘書室</x:v>
      </x:c>
      <x:c r="F177" s="37" t="str">
        <x:v>總務主管、行政人員、辦公室經理、員工</x:v>
      </x:c>
      <x:c r="G177" s="37" t="str">
        <x:v>現行作法對「核對收件方、內容、加密與追蹤方式」多靠人工彙整、個人經驗或事後處理，難以一致追蹤，造成決策延遲與重工。</x:v>
      </x:c>
      <x:c r="H177" s="37" t="str">
        <x:v>資料／事件接入；核對收件方、內容、加密與追蹤方式；證據與信心呈現；例外分流與人工覆核；避免寄錯成效追蹤；完整稽核軌跡</x:v>
      </x:c>
      <x:c r="I177" s="37" t="str">
        <x:v>跨文件／跨系統比對；圖譜推理；差異與缺口生成；專門模型焦點：核對收件方、內容、加密與追蹤方式</x:v>
      </x:c>
      <x:c r="J177" s="37" t="str">
        <x:v>以人機協作模式先產生草案與證據包，接受修改後執行核准步驟並建立完整稽核軌跡</x:v>
      </x:c>
      <x:c r="K177" s="37" t="str">
        <x:v>L3 可執行／關鍵核准</x:v>
      </x:c>
      <x:c r="L177" s="37" t="str">
        <x:v>空間、訪客、印章、車輛、郵件、採購、服務請求與感測資料</x:v>
      </x:c>
      <x:c r="M177" s="37" t="str">
        <x:v>OA、門禁、HRM、電子簽核、IoT、行事曆、ERP</x:v>
      </x:c>
      <x:c r="N177" s="37" t="str">
        <x:v>多據點企業希望降低辦公資源浪費並讓行政服務可量化、可預測。Demo：匯入一組去識別資料，觸發「核對收件方、內容、加密與追蹤方式」，由系統提出證據、建議與下一步；使用者核准後回寫任務，最後呈現「避免寄錯」前後差異。</x:v>
      </x:c>
      <x:c r="O177" s="37" t="str">
        <x:v>中低</x:v>
      </x:c>
      <x:c r="P177" s="37" t="str">
        <x:v>鄰近既有能力：原有行政管理可能涵蓋登記；本群聚焦預測、風險判斷與跨流程自動執行。本 App 的獨立邊界是「核對收件方、內容、加密與追蹤方式」，主要產出為「避免寄錯」，不是一般登錄、查詢或看板。</x:v>
      </x:c>
      <x:c r="Q177" s="38" t="n">
        <x:v>3</x:v>
      </x:c>
      <x:c r="R177" s="38" t="n">
        <x:v>2</x:v>
      </x:c>
      <x:c r="S177" s="38" t="str">
        <x:v>P2</x:v>
      </x:c>
      <x:c r="T177" s="38" t="n">
        <x:v>5</x:v>
      </x:c>
      <x:c r="U177" s="39" t="str">
        <x:v>Wave 3 垂直擴充</x:v>
      </x:c>
    </x:row>
    <x:row r="178" ht="86" customHeight="1">
      <x:c r="A178" s="36" t="str">
        <x:v>JV-174</x:v>
      </x:c>
      <x:c r="B178" s="37" t="str">
        <x:v>辦公用品需求預測器</x:v>
      </x:c>
      <x:c r="C178" s="37" t="str">
        <x:v>行政／總務</x:v>
      </x:c>
      <x:c r="D178" s="37" t="str">
        <x:v>郵件與物品</x:v>
      </x:c>
      <x:c r="E178" s="37" t="str">
        <x:v>行政、總務、職安、秘書室</x:v>
      </x:c>
      <x:c r="F178" s="37" t="str">
        <x:v>總務主管、行政人員、辦公室經理、員工</x:v>
      </x:c>
      <x:c r="G178" s="37" t="str">
        <x:v>現行作法對「依耗用、活動與人數預測補貨」多靠人工彙整、個人經驗或事後處理，難以一致追蹤，造成決策延遲與重工。</x:v>
      </x:c>
      <x:c r="H178" s="37" t="str">
        <x:v>資料／事件接入；依耗用、活動與人數預測補貨；證據與信心呈現；例外分流與人工覆核；降低缺料與囤積成效追蹤；完整稽核軌跡</x:v>
      </x:c>
      <x:c r="I178" s="37" t="str">
        <x:v>異常偵測；因果線索分析；可解釋的建議排序；專門模型焦點：依耗用、活動與人數預測補貨</x:v>
      </x:c>
      <x:c r="J178" s="37" t="str">
        <x:v>依目標自主規劃步驟、呼叫核准工具、遇到例外改走人工佇列，完成後驗證結果並回報</x:v>
      </x:c>
      <x:c r="K178" s="37" t="str">
        <x:v>L3 可執行／關鍵核准</x:v>
      </x:c>
      <x:c r="L178" s="37" t="str">
        <x:v>空間、訪客、印章、車輛、郵件、採購、服務請求與感測資料</x:v>
      </x:c>
      <x:c r="M178" s="37" t="str">
        <x:v>OA、門禁、HRM、電子簽核、IoT、行事曆、ERP</x:v>
      </x:c>
      <x:c r="N178" s="37" t="str">
        <x:v>多據點企業希望降低辦公資源浪費並讓行政服務可量化、可預測。Demo：匯入一組去識別資料，觸發「依耗用、活動與人數預測補貨」，由系統提出證據、建議與下一步；使用者核准後回寫任務，最後呈現「降低缺料與囤積」前後差異。</x:v>
      </x:c>
      <x:c r="O178" s="37" t="str">
        <x:v>中</x:v>
      </x:c>
      <x:c r="P178" s="37" t="str">
        <x:v>鄰近既有能力：原有行政管理可能涵蓋登記；本群聚焦預測、風險判斷與跨流程自動執行。本 App 的獨立邊界是「依耗用、活動與人數預測補貨」，主要產出為「降低缺料與囤積」，不是一般登錄、查詢或看板。</x:v>
      </x:c>
      <x:c r="Q178" s="38" t="n">
        <x:v>3</x:v>
      </x:c>
      <x:c r="R178" s="38" t="n">
        <x:v>2</x:v>
      </x:c>
      <x:c r="S178" s="38" t="str">
        <x:v>P2</x:v>
      </x:c>
      <x:c r="T178" s="38" t="n">
        <x:v>5</x:v>
      </x:c>
      <x:c r="U178" s="39" t="str">
        <x:v>Wave 3 垂直擴充</x:v>
      </x:c>
    </x:row>
    <x:row r="179" ht="86" customHeight="1">
      <x:c r="A179" s="36" t="str">
        <x:v>JV-175</x:v>
      </x:c>
      <x:c r="B179" s="37" t="str">
        <x:v>遺失物智慧媒合台</x:v>
      </x:c>
      <x:c r="C179" s="37" t="str">
        <x:v>行政／總務</x:v>
      </x:c>
      <x:c r="D179" s="37" t="str">
        <x:v>郵件與物品</x:v>
      </x:c>
      <x:c r="E179" s="37" t="str">
        <x:v>行政、總務、職安、秘書室</x:v>
      </x:c>
      <x:c r="F179" s="37" t="str">
        <x:v>總務主管、行政人員、辦公室經理、員工</x:v>
      </x:c>
      <x:c r="G179" s="37" t="str">
        <x:v>現行作法對「以影像、地點與時間媒合失物及失主」多靠人工彙整、個人經驗或事後處理，難以一致追蹤，造成決策延遲與重工。</x:v>
      </x:c>
      <x:c r="H179" s="37" t="str">
        <x:v>資料／事件接入；以影像、地點與時間媒合失物及失主；證據與信心呈現；例外分流與人工覆核；提高歸還率成效追蹤；完整稽核軌跡</x:v>
      </x:c>
      <x:c r="I179" s="37" t="str">
        <x:v>RAG 檢索與來源引用；規則＋模型混合判斷；矛盾檢查；專門模型焦點：以影像、地點與時間媒合失物及失主</x:v>
      </x:c>
      <x:c r="J179" s="37" t="str">
        <x:v>與多個專業 Agent 協作拆解任務，保留交接證據、逾時升級並在失敗時安全回滾</x:v>
      </x:c>
      <x:c r="K179" s="37" t="str">
        <x:v>L3 可執行／關鍵核准</x:v>
      </x:c>
      <x:c r="L179" s="37" t="str">
        <x:v>空間、訪客、印章、車輛、郵件、採購、服務請求與感測資料</x:v>
      </x:c>
      <x:c r="M179" s="37" t="str">
        <x:v>OA、門禁、HRM、電子簽核、IoT、行事曆、ERP</x:v>
      </x:c>
      <x:c r="N179" s="37" t="str">
        <x:v>多據點企業希望降低辦公資源浪費並讓行政服務可量化、可預測。Demo：匯入一組去識別資料，觸發「以影像、地點與時間媒合失物及失主」，由系統提出證據、建議與下一步；使用者核准後回寫任務，最後呈現「提高歸還率」前後差異。</x:v>
      </x:c>
      <x:c r="O179" s="37" t="str">
        <x:v>中低</x:v>
      </x:c>
      <x:c r="P179" s="37" t="str">
        <x:v>鄰近既有能力：原有行政管理可能涵蓋登記；本群聚焦預測、風險判斷與跨流程自動執行。本 App 的獨立邊界是「以影像、地點與時間媒合失物及失主」，主要產出為「提高歸還率」，不是一般登錄、查詢或看板。</x:v>
      </x:c>
      <x:c r="Q179" s="38" t="n">
        <x:v>3</x:v>
      </x:c>
      <x:c r="R179" s="38" t="n">
        <x:v>3</x:v>
      </x:c>
      <x:c r="S179" s="38" t="str">
        <x:v>P2</x:v>
      </x:c>
      <x:c r="T179" s="38" t="n">
        <x:v>7</x:v>
      </x:c>
      <x:c r="U179" s="39" t="str">
        <x:v>Wave 3 垂直擴充</x:v>
      </x:c>
    </x:row>
    <x:row r="180" ht="86" customHeight="1">
      <x:c r="A180" s="36" t="str">
        <x:v>JV-176</x:v>
      </x:c>
      <x:c r="B180" s="37" t="str">
        <x:v>行政服務智慧分流台</x:v>
      </x:c>
      <x:c r="C180" s="37" t="str">
        <x:v>行政／總務</x:v>
      </x:c>
      <x:c r="D180" s="37" t="str">
        <x:v>員工行政服務</x:v>
      </x:c>
      <x:c r="E180" s="37" t="str">
        <x:v>行政、總務、職安、秘書室</x:v>
      </x:c>
      <x:c r="F180" s="37" t="str">
        <x:v>總務主管、行政人員、辦公室經理、員工</x:v>
      </x:c>
      <x:c r="G180" s="37" t="str">
        <x:v>現行作法對「辨識需求並派給正確據點與服務商」多靠人工彙整、個人經驗或事後處理，難以一致追蹤，造成決策延遲與重工。</x:v>
      </x:c>
      <x:c r="H180" s="37" t="str">
        <x:v>資料／事件接入；辨識需求並派給正確據點與服務商；證據與信心呈現；例外分流與人工覆核；縮短回應成效追蹤；完整稽核軌跡</x:v>
      </x:c>
      <x:c r="I180" s="37" t="str">
        <x:v>語意分類與實體抽取；風險／信心評分；具證據的生成與摘要；專門模型焦點：辨識需求並派給正確據點與服務商</x:v>
      </x:c>
      <x:c r="J180" s="37" t="str">
        <x:v>持續監測事件，達門檻後建立案件、蒐集證據、指派責任並追蹤結案；高風險動作需人工核准</x:v>
      </x:c>
      <x:c r="K180" s="37" t="str">
        <x:v>L3 可執行／關鍵核准</x:v>
      </x:c>
      <x:c r="L180" s="37" t="str">
        <x:v>空間、訪客、印章、車輛、郵件、採購、服務請求與感測資料</x:v>
      </x:c>
      <x:c r="M180" s="37" t="str">
        <x:v>OA、門禁、HRM、電子簽核、IoT、行事曆、ERP</x:v>
      </x:c>
      <x:c r="N180" s="37" t="str">
        <x:v>多據點企業希望降低辦公資源浪費並讓行政服務可量化、可預測。Demo：匯入一組去識別資料，觸發「辨識需求並派給正確據點與服務商」，由系統提出證據、建議與下一步；使用者核准後回寫任務，最後呈現「縮短回應」前後差異。</x:v>
      </x:c>
      <x:c r="O180" s="37" t="str">
        <x:v>中</x:v>
      </x:c>
      <x:c r="P180" s="37" t="str">
        <x:v>鄰近既有能力：原有行政管理可能涵蓋登記；本群聚焦預測、風險判斷與跨流程自動執行。本 App 的獨立邊界是「辨識需求並派給正確據點與服務商」，主要產出為「縮短回應」，不是一般登錄、查詢或看板。</x:v>
      </x:c>
      <x:c r="Q180" s="38" t="n">
        <x:v>3</x:v>
      </x:c>
      <x:c r="R180" s="38" t="n">
        <x:v>2</x:v>
      </x:c>
      <x:c r="S180" s="38" t="str">
        <x:v>P2</x:v>
      </x:c>
      <x:c r="T180" s="38" t="n">
        <x:v>5</x:v>
      </x:c>
      <x:c r="U180" s="39" t="str">
        <x:v>Wave 3 垂直擴充</x:v>
      </x:c>
    </x:row>
    <x:row r="181" ht="86" customHeight="1">
      <x:c r="A181" s="36" t="str">
        <x:v>JV-177</x:v>
      </x:c>
      <x:c r="B181" s="37" t="str">
        <x:v>員工證明文件 Agent</x:v>
      </x:c>
      <x:c r="C181" s="37" t="str">
        <x:v>行政／總務</x:v>
      </x:c>
      <x:c r="D181" s="37" t="str">
        <x:v>員工行政服務</x:v>
      </x:c>
      <x:c r="E181" s="37" t="str">
        <x:v>行政、總務、職安、秘書室</x:v>
      </x:c>
      <x:c r="F181" s="37" t="str">
        <x:v>總務主管、行政人員、辦公室經理、員工</x:v>
      </x:c>
      <x:c r="G181" s="37" t="str">
        <x:v>現行作法對「核對資格後產生、簽核與交付證明」多靠人工彙整、個人經驗或事後處理，難以一致追蹤，造成決策延遲與重工。</x:v>
      </x:c>
      <x:c r="H181" s="37" t="str">
        <x:v>資料／事件接入；核對資格後產生、簽核與交付證明；證據與信心呈現；例外分流與人工覆核；降低重複行政成效追蹤；完整稽核軌跡</x:v>
      </x:c>
      <x:c r="I181" s="37" t="str">
        <x:v>預測與情境模擬；多目標最佳化；不確定性呈現；專門模型焦點：核對資格後產生、簽核與交付證明</x:v>
      </x:c>
      <x:c r="J181" s="37" t="str">
        <x:v>定期掃描資料與外部訊號，提出優先序與建議；經核准後同步任務與更新來源系統</x:v>
      </x:c>
      <x:c r="K181" s="37" t="str">
        <x:v>L3 可執行／關鍵核准</x:v>
      </x:c>
      <x:c r="L181" s="37" t="str">
        <x:v>空間、訪客、印章、車輛、郵件、採購、服務請求與感測資料</x:v>
      </x:c>
      <x:c r="M181" s="37" t="str">
        <x:v>OA、門禁、HRM、電子簽核、IoT、行事曆、ERP</x:v>
      </x:c>
      <x:c r="N181" s="37" t="str">
        <x:v>多據點企業希望降低辦公資源浪費並讓行政服務可量化、可預測。Demo：匯入一組去識別資料，觸發「核對資格後產生、簽核與交付證明」，由系統提出證據、建議與下一步；使用者核准後回寫任務，最後呈現「降低重複行政」前後差異。</x:v>
      </x:c>
      <x:c r="O181" s="37" t="str">
        <x:v>中低</x:v>
      </x:c>
      <x:c r="P181" s="37" t="str">
        <x:v>鄰近既有能力：原有行政管理可能涵蓋登記；本群聚焦預測、風險判斷與跨流程自動執行。本 App 的獨立邊界是「核對資格後產生、簽核與交付證明」，主要產出為「降低重複行政」，不是一般登錄、查詢或看板。</x:v>
      </x:c>
      <x:c r="Q181" s="38" t="n">
        <x:v>2</x:v>
      </x:c>
      <x:c r="R181" s="38" t="n">
        <x:v>2</x:v>
      </x:c>
      <x:c r="S181" s="38" t="str">
        <x:v>P2</x:v>
      </x:c>
      <x:c r="T181" s="38" t="n">
        <x:v>5</x:v>
      </x:c>
      <x:c r="U181" s="39" t="str">
        <x:v>Wave 3 垂直擴充</x:v>
      </x:c>
    </x:row>
    <x:row r="182" ht="86" customHeight="1">
      <x:c r="A182" s="36" t="str">
        <x:v>JV-178</x:v>
      </x:c>
      <x:c r="B182" s="37" t="str">
        <x:v>員工生命事件清單助手</x:v>
      </x:c>
      <x:c r="C182" s="37" t="str">
        <x:v>行政／總務</x:v>
      </x:c>
      <x:c r="D182" s="37" t="str">
        <x:v>員工行政服務</x:v>
      </x:c>
      <x:c r="E182" s="37" t="str">
        <x:v>行政、總務、職安、秘書室</x:v>
      </x:c>
      <x:c r="F182" s="37" t="str">
        <x:v>總務主管、行政人員、辦公室經理、員工</x:v>
      </x:c>
      <x:c r="G182" s="37" t="str">
        <x:v>現行作法對「依結婚、生育、搬遷等事件組合應辦事項」多靠人工彙整、個人經驗或事後處理，難以一致追蹤，造成決策延遲與重工。</x:v>
      </x:c>
      <x:c r="H182" s="37" t="str">
        <x:v>資料／事件接入；依結婚、生育、搬遷等事件組合應辦事項；證據與信心呈現；例外分流與人工覆核；提升員工體驗成效追蹤；完整稽核軌跡</x:v>
      </x:c>
      <x:c r="I182" s="37" t="str">
        <x:v>跨文件／跨系統比對；圖譜推理；差異與缺口生成；專門模型焦點：依結婚、生育、搬遷等事件組合應辦事項</x:v>
      </x:c>
      <x:c r="J182" s="37" t="str">
        <x:v>以人機協作模式先產生草案與證據包，接受修改後執行核准步驟並建立完整稽核軌跡</x:v>
      </x:c>
      <x:c r="K182" s="37" t="str">
        <x:v>L3 可執行／關鍵核准</x:v>
      </x:c>
      <x:c r="L182" s="37" t="str">
        <x:v>空間、訪客、印章、車輛、郵件、採購、服務請求與感測資料</x:v>
      </x:c>
      <x:c r="M182" s="37" t="str">
        <x:v>OA、門禁、HRM、電子簽核、IoT、行事曆、ERP</x:v>
      </x:c>
      <x:c r="N182" s="37" t="str">
        <x:v>多據點企業希望降低辦公資源浪費並讓行政服務可量化、可預測。Demo：匯入一組去識別資料，觸發「依結婚、生育、搬遷等事件組合應辦事項」，由系統提出證據、建議與下一步；使用者核准後回寫任務，最後呈現「提升員工體驗」前後差異。</x:v>
      </x:c>
      <x:c r="O182" s="37" t="str">
        <x:v>中低</x:v>
      </x:c>
      <x:c r="P182" s="37" t="str">
        <x:v>鄰近既有能力：原有行政管理可能涵蓋登記；本群聚焦預測、風險判斷與跨流程自動執行。本 App 的獨立邊界是「依結婚、生育、搬遷等事件組合應辦事項」，主要產出為「提升員工體驗」，不是一般登錄、查詢或看板。</x:v>
      </x:c>
      <x:c r="Q182" s="38" t="n">
        <x:v>3</x:v>
      </x:c>
      <x:c r="R182" s="38" t="n">
        <x:v>2</x:v>
      </x:c>
      <x:c r="S182" s="38" t="str">
        <x:v>P2</x:v>
      </x:c>
      <x:c r="T182" s="38" t="n">
        <x:v>5</x:v>
      </x:c>
      <x:c r="U182" s="39" t="str">
        <x:v>Wave 3 垂直擴充</x:v>
      </x:c>
    </x:row>
    <x:row r="183" ht="86" customHeight="1">
      <x:c r="A183" s="36" t="str">
        <x:v>JV-179</x:v>
      </x:c>
      <x:c r="B183" s="37" t="str">
        <x:v>大型活動資源協調器</x:v>
      </x:c>
      <x:c r="C183" s="37" t="str">
        <x:v>行政／總務</x:v>
      </x:c>
      <x:c r="D183" s="37" t="str">
        <x:v>員工行政服務</x:v>
      </x:c>
      <x:c r="E183" s="37" t="str">
        <x:v>行政、總務、職安、秘書室</x:v>
      </x:c>
      <x:c r="F183" s="37" t="str">
        <x:v>總務主管、行政人員、辦公室經理、員工</x:v>
      </x:c>
      <x:c r="G183" s="37" t="str">
        <x:v>現行作法對「整合場地、餐飲、設備、名單與應變計畫」多靠人工彙整、個人經驗或事後處理，難以一致追蹤，造成決策延遲與重工。</x:v>
      </x:c>
      <x:c r="H183" s="37" t="str">
        <x:v>資料／事件接入；整合場地、餐飲、設備、名單與應變計畫；證據與信心呈現；例外分流與人工覆核；降低活動風險成效追蹤；完整稽核軌跡</x:v>
      </x:c>
      <x:c r="I183" s="37" t="str">
        <x:v>異常偵測；因果線索分析；可解釋的建議排序；專門模型焦點：整合場地、餐飲、設備、名單與應變計畫</x:v>
      </x:c>
      <x:c r="J183" s="37" t="str">
        <x:v>依目標自主規劃步驟、呼叫核准工具、遇到例外改走人工佇列，完成後驗證結果並回報</x:v>
      </x:c>
      <x:c r="K183" s="37" t="str">
        <x:v>L3 可執行／關鍵核准</x:v>
      </x:c>
      <x:c r="L183" s="37" t="str">
        <x:v>空間、訪客、印章、車輛、郵件、採購、服務請求與感測資料</x:v>
      </x:c>
      <x:c r="M183" s="37" t="str">
        <x:v>OA、門禁、HRM、電子簽核、IoT、行事曆、ERP</x:v>
      </x:c>
      <x:c r="N183" s="37" t="str">
        <x:v>多據點企業希望降低辦公資源浪費並讓行政服務可量化、可預測。Demo：匯入一組去識別資料，觸發「整合場地、餐飲、設備、名單與應變計畫」，由系統提出證據、建議與下一步；使用者核准後回寫任務，最後呈現「降低活動風險」前後差異。</x:v>
      </x:c>
      <x:c r="O183" s="37" t="str">
        <x:v>中</x:v>
      </x:c>
      <x:c r="P183" s="37" t="str">
        <x:v>鄰近既有能力：原有行政管理可能涵蓋登記；本群聚焦預測、風險判斷與跨流程自動執行。本 App 的獨立邊界是「整合場地、餐飲、設備、名單與應變計畫」，主要產出為「降低活動風險」，不是一般登錄、查詢或看板。</x:v>
      </x:c>
      <x:c r="Q183" s="38" t="n">
        <x:v>3</x:v>
      </x:c>
      <x:c r="R183" s="38" t="n">
        <x:v>2</x:v>
      </x:c>
      <x:c r="S183" s="38" t="str">
        <x:v>P2</x:v>
      </x:c>
      <x:c r="T183" s="38" t="n">
        <x:v>5</x:v>
      </x:c>
      <x:c r="U183" s="39" t="str">
        <x:v>Wave 3 垂直擴充</x:v>
      </x:c>
    </x:row>
    <x:row r="184" ht="86" customHeight="1">
      <x:c r="A184" s="36" t="str">
        <x:v>JV-180</x:v>
      </x:c>
      <x:c r="B184" s="37" t="str">
        <x:v>總務服務 SLA 分析器</x:v>
      </x:c>
      <x:c r="C184" s="37" t="str">
        <x:v>行政／總務</x:v>
      </x:c>
      <x:c r="D184" s="37" t="str">
        <x:v>員工行政服務</x:v>
      </x:c>
      <x:c r="E184" s="37" t="str">
        <x:v>行政、總務、職安、秘書室</x:v>
      </x:c>
      <x:c r="F184" s="37" t="str">
        <x:v>總務主管、行政人員、辦公室經理、員工</x:v>
      </x:c>
      <x:c r="G184" s="37" t="str">
        <x:v>現行作法對「找出高頻、逾時與重複報修的根因」多靠人工彙整、個人經驗或事後處理，難以一致追蹤，造成決策延遲與重工。</x:v>
      </x:c>
      <x:c r="H184" s="37" t="str">
        <x:v>資料／事件接入；找出高頻、逾時與重複報修的根因；證據與信心呈現；例外分流與人工覆核；持續改善服務成效追蹤；完整稽核軌跡</x:v>
      </x:c>
      <x:c r="I184" s="37" t="str">
        <x:v>RAG 檢索與來源引用；規則＋模型混合判斷；矛盾檢查；專門模型焦點：找出高頻、逾時與重複報修的根因</x:v>
      </x:c>
      <x:c r="J184" s="37" t="str">
        <x:v>與多個專業 Agent 協作拆解任務，保留交接證據、逾時升級並在失敗時安全回滾</x:v>
      </x:c>
      <x:c r="K184" s="37" t="str">
        <x:v>L3 可執行／關鍵核准</x:v>
      </x:c>
      <x:c r="L184" s="37" t="str">
        <x:v>空間、訪客、印章、車輛、郵件、採購、服務請求與感測資料</x:v>
      </x:c>
      <x:c r="M184" s="37" t="str">
        <x:v>OA、門禁、HRM、電子簽核、IoT、行事曆、ERP</x:v>
      </x:c>
      <x:c r="N184" s="37" t="str">
        <x:v>多據點企業希望降低辦公資源浪費並讓行政服務可量化、可預測。Demo：匯入一組去識別資料，觸發「找出高頻、逾時與重複報修的根因」，由系統提出證據、建議與下一步；使用者核准後回寫任務，最後呈現「持續改善服務」前後差異。</x:v>
      </x:c>
      <x:c r="O184" s="37" t="str">
        <x:v>中低</x:v>
      </x:c>
      <x:c r="P184" s="37" t="str">
        <x:v>鄰近既有能力：原有行政管理可能涵蓋登記；本群聚焦預測、風險判斷與跨流程自動執行。本 App 的獨立邊界是「找出高頻、逾時與重複報修的根因」，主要產出為「持續改善服務」，不是一般登錄、查詢或看板。</x:v>
      </x:c>
      <x:c r="Q184" s="38" t="n">
        <x:v>3</x:v>
      </x:c>
      <x:c r="R184" s="38" t="n">
        <x:v>3</x:v>
      </x:c>
      <x:c r="S184" s="38" t="str">
        <x:v>P2</x:v>
      </x:c>
      <x:c r="T184" s="38" t="n">
        <x:v>7</x:v>
      </x:c>
      <x:c r="U184" s="39" t="str">
        <x:v>Wave 3 垂直擴充</x:v>
      </x:c>
    </x:row>
    <x:row r="185" ht="86" customHeight="1">
      <x:c r="A185" s="36" t="str">
        <x:v>JV-181</x:v>
      </x:c>
      <x:c r="B185" s="37" t="str">
        <x:v>內容缺口探索器</x:v>
      </x:c>
      <x:c r="C185" s="37" t="str">
        <x:v>行銷／MarTech</x:v>
      </x:c>
      <x:c r="D185" s="37" t="str">
        <x:v>內容策略</x:v>
      </x:c>
      <x:c r="E185" s="37" t="str">
        <x:v>行銷、品牌、電商、策略</x:v>
      </x:c>
      <x:c r="F185" s="37" t="str">
        <x:v>行銷主管、內容團隊、成長經理、品牌經理</x:v>
      </x:c>
      <x:c r="G185" s="37" t="str">
        <x:v>現行作法對「比較客戶問題、競品內容與搜尋需求找缺口」多靠人工彙整、個人經驗或事後處理，難以一致追蹤，造成決策延遲與重工。</x:v>
      </x:c>
      <x:c r="H185" s="37" t="str">
        <x:v>資料／事件接入；比較客戶問題、競品內容與搜尋需求找缺口；證據與信心呈現；例外分流與人工覆核；建立高價值題庫成效追蹤；完整稽核軌跡</x:v>
      </x:c>
      <x:c r="I185" s="37" t="str">
        <x:v>語意分類與實體抽取；風險／信心評分；具證據的生成與摘要；專門模型焦點：比較客戶問題、競品內容與搜尋需求找缺口</x:v>
      </x:c>
      <x:c r="J185" s="37" t="str">
        <x:v>持續監測事件，達門檻後建立案件、蒐集證據、指派責任並追蹤結案；高風險動作需人工核准</x:v>
      </x:c>
      <x:c r="K185" s="37" t="str">
        <x:v>L3 可執行／關鍵核准</x:v>
      </x:c>
      <x:c r="L185" s="37" t="str">
        <x:v>內容、活動、廣告、網站、搜尋、社群、競品、客戶行為與品牌規範</x:v>
      </x:c>
      <x:c r="M185" s="37" t="str">
        <x:v>CRM、CDP、CMS、廣告平台、GA、社群聆聽、DAM</x:v>
      </x:c>
      <x:c r="N185" s="37" t="str">
        <x:v>B2B 企業要用有限人力持續產出可信內容、優化投放並掌握市場訊號。Demo：匯入一組去識別資料，觸發「比較客戶問題、競品內容與搜尋需求找缺口」，由系統提出證據、建議與下一步；使用者核准後回寫任務，最後呈現「建立高價值題庫」前後差異。</x:v>
      </x:c>
      <x:c r="O185" s="37" t="str">
        <x:v>中</x:v>
      </x:c>
      <x:c r="P185" s="37" t="str">
        <x:v>鄰近既有能力：原有 CRM/行銷可能做名單與活動；本群聚焦內容智能、實驗、品牌與跨渠道決策。本 App 的獨立邊界是「比較客戶問題、競品內容與搜尋需求找缺口」，主要產出為「建立高價值題庫」，不是一般登錄、查詢或看板。</x:v>
      </x:c>
      <x:c r="Q185" s="38" t="n">
        <x:v>4</x:v>
      </x:c>
      <x:c r="R185" s="38" t="n">
        <x:v>2</x:v>
      </x:c>
      <x:c r="S185" s="38" t="str">
        <x:v>P1</x:v>
      </x:c>
      <x:c r="T185" s="38" t="n">
        <x:v>5</x:v>
      </x:c>
      <x:c r="U185" s="39" t="str">
        <x:v>Wave 2 高價值套件</x:v>
      </x:c>
    </x:row>
    <x:row r="186" ht="86" customHeight="1">
      <x:c r="A186" s="36" t="str">
        <x:v>JV-182</x:v>
      </x:c>
      <x:c r="B186" s="37" t="str">
        <x:v>內容支柱規劃 Agent</x:v>
      </x:c>
      <x:c r="C186" s="37" t="str">
        <x:v>行銷／MarTech</x:v>
      </x:c>
      <x:c r="D186" s="37" t="str">
        <x:v>內容策略</x:v>
      </x:c>
      <x:c r="E186" s="37" t="str">
        <x:v>行銷、品牌、電商、策略</x:v>
      </x:c>
      <x:c r="F186" s="37" t="str">
        <x:v>行銷主管、內容團隊、成長經理、品牌經理</x:v>
      </x:c>
      <x:c r="G186" s="37" t="str">
        <x:v>現行作法對「把品牌議題拆成季度支柱與跨格式內容」多靠人工彙整、個人經驗或事後處理，難以一致追蹤，造成決策延遲與重工。</x:v>
      </x:c>
      <x:c r="H186" s="37" t="str">
        <x:v>資料／事件接入；把品牌議題拆成季度支柱與跨格式內容；證據與信心呈現；例外分流與人工覆核；維持長期一致性成效追蹤；完整稽核軌跡</x:v>
      </x:c>
      <x:c r="I186" s="37" t="str">
        <x:v>預測與情境模擬；多目標最佳化；不確定性呈現；專門模型焦點：把品牌議題拆成季度支柱與跨格式內容</x:v>
      </x:c>
      <x:c r="J186" s="37" t="str">
        <x:v>定期掃描資料與外部訊號，提出優先序與建議；經核准後同步任務與更新來源系統</x:v>
      </x:c>
      <x:c r="K186" s="37" t="str">
        <x:v>L3 可執行／關鍵核准</x:v>
      </x:c>
      <x:c r="L186" s="37" t="str">
        <x:v>內容、活動、廣告、網站、搜尋、社群、競品、客戶行為與品牌規範</x:v>
      </x:c>
      <x:c r="M186" s="37" t="str">
        <x:v>CRM、CDP、CMS、廣告平台、GA、社群聆聽、DAM</x:v>
      </x:c>
      <x:c r="N186" s="37" t="str">
        <x:v>B2B 企業要用有限人力持續產出可信內容、優化投放並掌握市場訊號。Demo：匯入一組去識別資料，觸發「把品牌議題拆成季度支柱與跨格式內容」，由系統提出證據、建議與下一步；使用者核准後回寫任務，最後呈現「維持長期一致性」前後差異。</x:v>
      </x:c>
      <x:c r="O186" s="37" t="str">
        <x:v>中低</x:v>
      </x:c>
      <x:c r="P186" s="37" t="str">
        <x:v>鄰近既有能力：原有 CRM/行銷可能做名單與活動；本群聚焦內容智能、實驗、品牌與跨渠道決策。本 App 的獨立邊界是「把品牌議題拆成季度支柱與跨格式內容」，主要產出為「維持長期一致性」，不是一般登錄、查詢或看板。</x:v>
      </x:c>
      <x:c r="Q186" s="38" t="n">
        <x:v>4</x:v>
      </x:c>
      <x:c r="R186" s="38" t="n">
        <x:v>3</x:v>
      </x:c>
      <x:c r="S186" s="38" t="str">
        <x:v>P1</x:v>
      </x:c>
      <x:c r="T186" s="38" t="n">
        <x:v>7</x:v>
      </x:c>
      <x:c r="U186" s="39" t="str">
        <x:v>Wave 2 高價值套件</x:v>
      </x:c>
    </x:row>
    <x:row r="187" ht="86" customHeight="1">
      <x:c r="A187" s="36" t="str">
        <x:v>JV-183</x:v>
      </x:c>
      <x:c r="B187" s="37" t="str">
        <x:v>專家知識採訪轉譯器</x:v>
      </x:c>
      <x:c r="C187" s="37" t="str">
        <x:v>行銷／MarTech</x:v>
      </x:c>
      <x:c r="D187" s="37" t="str">
        <x:v>內容策略</x:v>
      </x:c>
      <x:c r="E187" s="37" t="str">
        <x:v>行銷、品牌、電商、策略</x:v>
      </x:c>
      <x:c r="F187" s="37" t="str">
        <x:v>行銷主管、內容團隊、成長經理、品牌經理</x:v>
      </x:c>
      <x:c r="G187" s="37" t="str">
        <x:v>現行作法對「將訪談轉成文章、案例與業務素材」多靠人工彙整、個人經驗或事後處理，難以一致追蹤，造成決策延遲與重工。</x:v>
      </x:c>
      <x:c r="H187" s="37" t="str">
        <x:v>資料／事件接入；將訪談轉成文章、案例與業務素材；證據與信心呈現；例外分流與人工覆核；放大內部專家產能成效追蹤；完整稽核軌跡</x:v>
      </x:c>
      <x:c r="I187" s="37" t="str">
        <x:v>跨文件／跨系統比對；圖譜推理；差異與缺口生成；專門模型焦點：將訪談轉成文章、案例與業務素材</x:v>
      </x:c>
      <x:c r="J187" s="37" t="str">
        <x:v>以人機協作模式先產生草案與證據包，接受修改後執行核准步驟並建立完整稽核軌跡</x:v>
      </x:c>
      <x:c r="K187" s="37" t="str">
        <x:v>L3 可執行／關鍵核准</x:v>
      </x:c>
      <x:c r="L187" s="37" t="str">
        <x:v>內容、活動、廣告、網站、搜尋、社群、競品、客戶行為與品牌規範</x:v>
      </x:c>
      <x:c r="M187" s="37" t="str">
        <x:v>CRM、CDP、CMS、廣告平台、GA、社群聆聽、DAM</x:v>
      </x:c>
      <x:c r="N187" s="37" t="str">
        <x:v>B2B 企業要用有限人力持續產出可信內容、優化投放並掌握市場訊號。Demo：匯入一組去識別資料，觸發「將訪談轉成文章、案例與業務素材」，由系統提出證據、建議與下一步；使用者核准後回寫任務，最後呈現「放大內部專家產能」前後差異。</x:v>
      </x:c>
      <x:c r="O187" s="37" t="str">
        <x:v>中低</x:v>
      </x:c>
      <x:c r="P187" s="37" t="str">
        <x:v>鄰近既有能力：原有 CRM/行銷可能做名單與活動；本群聚焦內容智能、實驗、品牌與跨渠道決策。本 App 的獨立邊界是「將訪談轉成文章、案例與業務素材」，主要產出為「放大內部專家產能」，不是一般登錄、查詢或看板。</x:v>
      </x:c>
      <x:c r="Q187" s="38" t="n">
        <x:v>4</x:v>
      </x:c>
      <x:c r="R187" s="38" t="n">
        <x:v>3</x:v>
      </x:c>
      <x:c r="S187" s="38" t="str">
        <x:v>P1</x:v>
      </x:c>
      <x:c r="T187" s="38" t="n">
        <x:v>7</x:v>
      </x:c>
      <x:c r="U187" s="39" t="str">
        <x:v>Wave 2 高價值套件</x:v>
      </x:c>
    </x:row>
    <x:row r="188" ht="86" customHeight="1">
      <x:c r="A188" s="36" t="str">
        <x:v>JV-184</x:v>
      </x:c>
      <x:c r="B188" s="37" t="str">
        <x:v>內容衰退預警器</x:v>
      </x:c>
      <x:c r="C188" s="37" t="str">
        <x:v>行銷／MarTech</x:v>
      </x:c>
      <x:c r="D188" s="37" t="str">
        <x:v>內容策略</x:v>
      </x:c>
      <x:c r="E188" s="37" t="str">
        <x:v>行銷、品牌、電商、策略</x:v>
      </x:c>
      <x:c r="F188" s="37" t="str">
        <x:v>行銷主管、內容團隊、成長經理、品牌經理</x:v>
      </x:c>
      <x:c r="G188" s="37" t="str">
        <x:v>現行作法對「偵測流量、排名與轉換下降並建議更新」多靠人工彙整、個人經驗或事後處理，難以一致追蹤，造成決策延遲與重工。</x:v>
      </x:c>
      <x:c r="H188" s="37" t="str">
        <x:v>資料／事件接入；偵測流量、排名與轉換下降並建議更新；證據與信心呈現；例外分流與人工覆核；延長內容生命成效追蹤；完整稽核軌跡</x:v>
      </x:c>
      <x:c r="I188" s="37" t="str">
        <x:v>異常偵測；因果線索分析；可解釋的建議排序；專門模型焦點：偵測流量、排名與轉換下降並建議更新</x:v>
      </x:c>
      <x:c r="J188" s="37" t="str">
        <x:v>依目標自主規劃步驟、呼叫核准工具、遇到例外改走人工佇列，完成後驗證結果並回報</x:v>
      </x:c>
      <x:c r="K188" s="37" t="str">
        <x:v>L3 可執行／關鍵核准</x:v>
      </x:c>
      <x:c r="L188" s="37" t="str">
        <x:v>內容、活動、廣告、網站、搜尋、社群、競品、客戶行為與品牌規範</x:v>
      </x:c>
      <x:c r="M188" s="37" t="str">
        <x:v>CRM、CDP、CMS、廣告平台、GA、社群聆聽、DAM</x:v>
      </x:c>
      <x:c r="N188" s="37" t="str">
        <x:v>B2B 企業要用有限人力持續產出可信內容、優化投放並掌握市場訊號。Demo：匯入一組去識別資料，觸發「偵測流量、排名與轉換下降並建議更新」，由系統提出證據、建議與下一步；使用者核准後回寫任務，最後呈現「延長內容生命」前後差異。</x:v>
      </x:c>
      <x:c r="O188" s="37" t="str">
        <x:v>中</x:v>
      </x:c>
      <x:c r="P188" s="37" t="str">
        <x:v>鄰近既有能力：原有 CRM/行銷可能做名單與活動；本群聚焦內容智能、實驗、品牌與跨渠道決策。本 App 的獨立邊界是「偵測流量、排名與轉換下降並建議更新」，主要產出為「延長內容生命」，不是一般登錄、查詢或看板。</x:v>
      </x:c>
      <x:c r="Q188" s="38" t="n">
        <x:v>3</x:v>
      </x:c>
      <x:c r="R188" s="38" t="n">
        <x:v>3</x:v>
      </x:c>
      <x:c r="S188" s="38" t="str">
        <x:v>P2</x:v>
      </x:c>
      <x:c r="T188" s="38" t="n">
        <x:v>7</x:v>
      </x:c>
      <x:c r="U188" s="39" t="str">
        <x:v>Wave 3 垂直擴充</x:v>
      </x:c>
    </x:row>
    <x:row r="189" ht="86" customHeight="1">
      <x:c r="A189" s="36" t="str">
        <x:v>JV-185</x:v>
      </x:c>
      <x:c r="B189" s="37" t="str">
        <x:v>內容證據可信度檢查器</x:v>
      </x:c>
      <x:c r="C189" s="37" t="str">
        <x:v>行銷／MarTech</x:v>
      </x:c>
      <x:c r="D189" s="37" t="str">
        <x:v>內容策略</x:v>
      </x:c>
      <x:c r="E189" s="37" t="str">
        <x:v>行銷、品牌、電商、策略</x:v>
      </x:c>
      <x:c r="F189" s="37" t="str">
        <x:v>行銷主管、內容團隊、成長經理、品牌經理</x:v>
      </x:c>
      <x:c r="G189" s="37" t="str">
        <x:v>現行作法對「標示無來源、過期數據與誇大主張」多靠人工彙整、個人經驗或事後處理，難以一致追蹤，造成決策延遲與重工。</x:v>
      </x:c>
      <x:c r="H189" s="37" t="str">
        <x:v>資料／事件接入；標示無來源、過期數據與誇大主張；證據與信心呈現；例外分流與人工覆核；降低品牌與法遵風險成效追蹤；完整稽核軌跡</x:v>
      </x:c>
      <x:c r="I189" s="37" t="str">
        <x:v>RAG 檢索與來源引用；規則＋模型混合判斷；矛盾檢查；專門模型焦點：標示無來源、過期數據與誇大主張</x:v>
      </x:c>
      <x:c r="J189" s="37" t="str">
        <x:v>與多個專業 Agent 協作拆解任務，保留交接證據、逾時升級並在失敗時安全回滾</x:v>
      </x:c>
      <x:c r="K189" s="37" t="str">
        <x:v>L3 可執行／關鍵核准</x:v>
      </x:c>
      <x:c r="L189" s="37" t="str">
        <x:v>內容、活動、廣告、網站、搜尋、社群、競品、客戶行為與品牌規範</x:v>
      </x:c>
      <x:c r="M189" s="37" t="str">
        <x:v>CRM、CDP、CMS、廣告平台、GA、社群聆聽、DAM</x:v>
      </x:c>
      <x:c r="N189" s="37" t="str">
        <x:v>B2B 企業要用有限人力持續產出可信內容、優化投放並掌握市場訊號。Demo：匯入一組去識別資料，觸發「標示無來源、過期數據與誇大主張」，由系統提出證據、建議與下一步；使用者核准後回寫任務，最後呈現「降低品牌與法遵風險」前後差異。</x:v>
      </x:c>
      <x:c r="O189" s="37" t="str">
        <x:v>中低</x:v>
      </x:c>
      <x:c r="P189" s="37" t="str">
        <x:v>鄰近既有能力：原有 CRM/行銷可能做名單與活動；本群聚焦內容智能、實驗、品牌與跨渠道決策。本 App 的獨立邊界是「標示無來源、過期數據與誇大主張」，主要產出為「降低品牌與法遵風險」，不是一般登錄、查詢或看板。</x:v>
      </x:c>
      <x:c r="Q189" s="38" t="n">
        <x:v>4</x:v>
      </x:c>
      <x:c r="R189" s="38" t="n">
        <x:v>4</x:v>
      </x:c>
      <x:c r="S189" s="38" t="str">
        <x:v>P1</x:v>
      </x:c>
      <x:c r="T189" s="38" t="n">
        <x:v>9</x:v>
      </x:c>
      <x:c r="U189" s="39" t="str">
        <x:v>Wave 2 高價值套件</x:v>
      </x:c>
    </x:row>
    <x:row r="190" ht="86" customHeight="1">
      <x:c r="A190" s="36" t="str">
        <x:v>JV-186</x:v>
      </x:c>
      <x:c r="B190" s="37" t="str">
        <x:v>搜尋意圖地圖</x:v>
      </x:c>
      <x:c r="C190" s="37" t="str">
        <x:v>行銷／MarTech</x:v>
      </x:c>
      <x:c r="D190" s="37" t="str">
        <x:v>SEO 與發現</x:v>
      </x:c>
      <x:c r="E190" s="37" t="str">
        <x:v>行銷、品牌、電商、策略</x:v>
      </x:c>
      <x:c r="F190" s="37" t="str">
        <x:v>行銷主管、內容團隊、成長經理、品牌經理</x:v>
      </x:c>
      <x:c r="G190" s="37" t="str">
        <x:v>現行作法對「把關鍵字聚類為問題、比較、採購與支援意圖」多靠人工彙整、個人經驗或事後處理，難以一致追蹤，造成決策延遲與重工。</x:v>
      </x:c>
      <x:c r="H190" s="37" t="str">
        <x:v>資料／事件接入；把關鍵字聚類為問題、比較、採購與支援意圖；證據與信心呈現；例外分流與人工覆核；對齊內容漏斗成效追蹤；完整稽核軌跡</x:v>
      </x:c>
      <x:c r="I190" s="37" t="str">
        <x:v>語意分類與實體抽取；風險／信心評分；具證據的生成與摘要；專門模型焦點：把關鍵字聚類為問題、比較、採購與支援意圖</x:v>
      </x:c>
      <x:c r="J190" s="37" t="str">
        <x:v>持續監測事件，達門檻後建立案件、蒐集證據、指派責任並追蹤結案；高風險動作需人工核准</x:v>
      </x:c>
      <x:c r="K190" s="37" t="str">
        <x:v>L3 可執行／關鍵核准</x:v>
      </x:c>
      <x:c r="L190" s="37" t="str">
        <x:v>內容、活動、廣告、網站、搜尋、社群、競品、客戶行為與品牌規範</x:v>
      </x:c>
      <x:c r="M190" s="37" t="str">
        <x:v>CRM、CDP、CMS、廣告平台、GA、社群聆聽、DAM</x:v>
      </x:c>
      <x:c r="N190" s="37" t="str">
        <x:v>B2B 企業要用有限人力持續產出可信內容、優化投放並掌握市場訊號。Demo：匯入一組去識別資料，觸發「把關鍵字聚類為問題、比較、採購與支援意圖」，由系統提出證據、建議與下一步；使用者核准後回寫任務，最後呈現「對齊內容漏斗」前後差異。</x:v>
      </x:c>
      <x:c r="O190" s="37" t="str">
        <x:v>中</x:v>
      </x:c>
      <x:c r="P190" s="37" t="str">
        <x:v>鄰近既有能力：原有 CRM/行銷可能做名單與活動；本群聚焦內容智能、實驗、品牌與跨渠道決策。本 App 的獨立邊界是「把關鍵字聚類為問題、比較、採購與支援意圖」，主要產出為「對齊內容漏斗」，不是一般登錄、查詢或看板。</x:v>
      </x:c>
      <x:c r="Q190" s="38" t="n">
        <x:v>4</x:v>
      </x:c>
      <x:c r="R190" s="38" t="n">
        <x:v>2</x:v>
      </x:c>
      <x:c r="S190" s="38" t="str">
        <x:v>P1</x:v>
      </x:c>
      <x:c r="T190" s="38" t="n">
        <x:v>5</x:v>
      </x:c>
      <x:c r="U190" s="39" t="str">
        <x:v>Wave 2 高價值套件</x:v>
      </x:c>
    </x:row>
    <x:row r="191" ht="86" customHeight="1">
      <x:c r="A191" s="36" t="str">
        <x:v>JV-187</x:v>
      </x:c>
      <x:c r="B191" s="37" t="str">
        <x:v>AI 搜尋可見度監測器</x:v>
      </x:c>
      <x:c r="C191" s="37" t="str">
        <x:v>行銷／MarTech</x:v>
      </x:c>
      <x:c r="D191" s="37" t="str">
        <x:v>SEO 與發現</x:v>
      </x:c>
      <x:c r="E191" s="37" t="str">
        <x:v>行銷、品牌、電商、策略</x:v>
      </x:c>
      <x:c r="F191" s="37" t="str">
        <x:v>行銷主管、內容團隊、成長經理、品牌經理</x:v>
      </x:c>
      <x:c r="G191" s="37" t="str">
        <x:v>現行作法對「追蹤品牌在生成式搜尋回答中的出現與引用」多靠人工彙整、個人經驗或事後處理，難以一致追蹤，造成決策延遲與重工。</x:v>
      </x:c>
      <x:c r="H191" s="37" t="str">
        <x:v>資料／事件接入；追蹤品牌在生成式搜尋回答中的出現與引用；證據與信心呈現；例外分流與人工覆核；優化新型搜尋曝光成效追蹤；完整稽核軌跡</x:v>
      </x:c>
      <x:c r="I191" s="37" t="str">
        <x:v>預測與情境模擬；多目標最佳化；不確定性呈現；專門模型焦點：追蹤品牌在生成式搜尋回答中的出現與引用</x:v>
      </x:c>
      <x:c r="J191" s="37" t="str">
        <x:v>定期掃描資料與外部訊號，提出優先序與建議；經核准後同步任務與更新來源系統</x:v>
      </x:c>
      <x:c r="K191" s="37" t="str">
        <x:v>L3 可執行／關鍵核准</x:v>
      </x:c>
      <x:c r="L191" s="37" t="str">
        <x:v>內容、活動、廣告、網站、搜尋、社群、競品、客戶行為與品牌規範</x:v>
      </x:c>
      <x:c r="M191" s="37" t="str">
        <x:v>CRM、CDP、CMS、廣告平台、GA、社群聆聽、DAM</x:v>
      </x:c>
      <x:c r="N191" s="37" t="str">
        <x:v>B2B 企業要用有限人力持續產出可信內容、優化投放並掌握市場訊號。Demo：匯入一組去識別資料，觸發「追蹤品牌在生成式搜尋回答中的出現與引用」，由系統提出證據、建議與下一步；使用者核准後回寫任務，最後呈現「優化新型搜尋曝光」前後差異。</x:v>
      </x:c>
      <x:c r="O191" s="37" t="str">
        <x:v>中低</x:v>
      </x:c>
      <x:c r="P191" s="37" t="str">
        <x:v>鄰近既有能力：原有 CRM/行銷可能做名單與活動；本群聚焦內容智能、實驗、品牌與跨渠道決策。本 App 的獨立邊界是「追蹤品牌在生成式搜尋回答中的出現與引用」，主要產出為「優化新型搜尋曝光」，不是一般登錄、查詢或看板。</x:v>
      </x:c>
      <x:c r="Q191" s="38" t="n">
        <x:v>4</x:v>
      </x:c>
      <x:c r="R191" s="38" t="n">
        <x:v>3</x:v>
      </x:c>
      <x:c r="S191" s="38" t="str">
        <x:v>P1</x:v>
      </x:c>
      <x:c r="T191" s="38" t="n">
        <x:v>7</x:v>
      </x:c>
      <x:c r="U191" s="39" t="str">
        <x:v>Wave 2 高價值套件</x:v>
      </x:c>
    </x:row>
    <x:row r="192" ht="86" customHeight="1">
      <x:c r="A192" s="36" t="str">
        <x:v>JV-188</x:v>
      </x:c>
      <x:c r="B192" s="37" t="str">
        <x:v>技術 SEO 影響排序器</x:v>
      </x:c>
      <x:c r="C192" s="37" t="str">
        <x:v>行銷／MarTech</x:v>
      </x:c>
      <x:c r="D192" s="37" t="str">
        <x:v>SEO 與發現</x:v>
      </x:c>
      <x:c r="E192" s="37" t="str">
        <x:v>行銷、品牌、電商、策略</x:v>
      </x:c>
      <x:c r="F192" s="37" t="str">
        <x:v>行銷主管、內容團隊、成長經理、品牌經理</x:v>
      </x:c>
      <x:c r="G192" s="37" t="str">
        <x:v>現行作法對「依流量與商業價值排序技術問題」多靠人工彙整、個人經驗或事後處理，難以一致追蹤，造成決策延遲與重工。</x:v>
      </x:c>
      <x:c r="H192" s="37" t="str">
        <x:v>資料／事件接入；依流量與商業價值排序技術問題；證據與信心呈現；例外分流與人工覆核；聚焦修復資源成效追蹤；完整稽核軌跡</x:v>
      </x:c>
      <x:c r="I192" s="37" t="str">
        <x:v>跨文件／跨系統比對；圖譜推理；差異與缺口生成；專門模型焦點：依流量與商業價值排序技術問題</x:v>
      </x:c>
      <x:c r="J192" s="37" t="str">
        <x:v>以人機協作模式先產生草案與證據包，接受修改後執行核准步驟並建立完整稽核軌跡</x:v>
      </x:c>
      <x:c r="K192" s="37" t="str">
        <x:v>L3 可執行／關鍵核准</x:v>
      </x:c>
      <x:c r="L192" s="37" t="str">
        <x:v>內容、活動、廣告、網站、搜尋、社群、競品、客戶行為與品牌規範</x:v>
      </x:c>
      <x:c r="M192" s="37" t="str">
        <x:v>CRM、CDP、CMS、廣告平台、GA、社群聆聽、DAM</x:v>
      </x:c>
      <x:c r="N192" s="37" t="str">
        <x:v>B2B 企業要用有限人力持續產出可信內容、優化投放並掌握市場訊號。Demo：匯入一組去識別資料，觸發「依流量與商業價值排序技術問題」，由系統提出證據、建議與下一步；使用者核准後回寫任務，最後呈現「聚焦修復資源」前後差異。</x:v>
      </x:c>
      <x:c r="O192" s="37" t="str">
        <x:v>中低</x:v>
      </x:c>
      <x:c r="P192" s="37" t="str">
        <x:v>鄰近既有能力：原有 CRM/行銷可能做名單與活動；本群聚焦內容智能、實驗、品牌與跨渠道決策。本 App 的獨立邊界是「依流量與商業價值排序技術問題」，主要產出為「聚焦修復資源」，不是一般登錄、查詢或看板。</x:v>
      </x:c>
      <x:c r="Q192" s="38" t="n">
        <x:v>4</x:v>
      </x:c>
      <x:c r="R192" s="38" t="n">
        <x:v>3</x:v>
      </x:c>
      <x:c r="S192" s="38" t="str">
        <x:v>P1</x:v>
      </x:c>
      <x:c r="T192" s="38" t="n">
        <x:v>7</x:v>
      </x:c>
      <x:c r="U192" s="39" t="str">
        <x:v>Wave 2 高價值套件</x:v>
      </x:c>
    </x:row>
    <x:row r="193" ht="86" customHeight="1">
      <x:c r="A193" s="36" t="str">
        <x:v>JV-189</x:v>
      </x:c>
      <x:c r="B193" s="37" t="str">
        <x:v>多國 SEO 在地化 Agent</x:v>
      </x:c>
      <x:c r="C193" s="37" t="str">
        <x:v>行銷／MarTech</x:v>
      </x:c>
      <x:c r="D193" s="37" t="str">
        <x:v>SEO 與發現</x:v>
      </x:c>
      <x:c r="E193" s="37" t="str">
        <x:v>行銷、品牌、電商、策略</x:v>
      </x:c>
      <x:c r="F193" s="37" t="str">
        <x:v>行銷主管、內容團隊、成長經理、品牌經理</x:v>
      </x:c>
      <x:c r="G193" s="37" t="str">
        <x:v>現行作法對「結合當地搜尋語言與法規調整頁面」多靠人工彙整、個人經驗或事後處理，難以一致追蹤，造成決策延遲與重工。</x:v>
      </x:c>
      <x:c r="H193" s="37" t="str">
        <x:v>資料／事件接入；結合當地搜尋語言與法規調整頁面；證據與信心呈現；例外分流與人工覆核；提升海外自然流量成效追蹤；完整稽核軌跡</x:v>
      </x:c>
      <x:c r="I193" s="37" t="str">
        <x:v>異常偵測；因果線索分析；可解釋的建議排序；專門模型焦點：結合當地搜尋語言與法規調整頁面</x:v>
      </x:c>
      <x:c r="J193" s="37" t="str">
        <x:v>依目標自主規劃步驟、呼叫核准工具、遇到例外改走人工佇列，完成後驗證結果並回報</x:v>
      </x:c>
      <x:c r="K193" s="37" t="str">
        <x:v>L3 可執行／關鍵核准</x:v>
      </x:c>
      <x:c r="L193" s="37" t="str">
        <x:v>內容、活動、廣告、網站、搜尋、社群、競品、客戶行為與品牌規範</x:v>
      </x:c>
      <x:c r="M193" s="37" t="str">
        <x:v>CRM、CDP、CMS、廣告平台、GA、社群聆聽、DAM</x:v>
      </x:c>
      <x:c r="N193" s="37" t="str">
        <x:v>B2B 企業要用有限人力持續產出可信內容、優化投放並掌握市場訊號。Demo：匯入一組去識別資料，觸發「結合當地搜尋語言與法規調整頁面」，由系統提出證據、建議與下一步；使用者核准後回寫任務，最後呈現「提升海外自然流量」前後差異。</x:v>
      </x:c>
      <x:c r="O193" s="37" t="str">
        <x:v>中</x:v>
      </x:c>
      <x:c r="P193" s="37" t="str">
        <x:v>鄰近既有能力：原有 CRM/行銷可能做名單與活動；本群聚焦內容智能、實驗、品牌與跨渠道決策。本 App 的獨立邊界是「結合當地搜尋語言與法規調整頁面」，主要產出為「提升海外自然流量」，不是一般登錄、查詢或看板。</x:v>
      </x:c>
      <x:c r="Q193" s="38" t="n">
        <x:v>4</x:v>
      </x:c>
      <x:c r="R193" s="38" t="n">
        <x:v>3</x:v>
      </x:c>
      <x:c r="S193" s="38" t="str">
        <x:v>P1</x:v>
      </x:c>
      <x:c r="T193" s="38" t="n">
        <x:v>7</x:v>
      </x:c>
      <x:c r="U193" s="39" t="str">
        <x:v>Wave 2 高價值套件</x:v>
      </x:c>
    </x:row>
    <x:row r="194" ht="86" customHeight="1">
      <x:c r="A194" s="36" t="str">
        <x:v>JV-190</x:v>
      </x:c>
      <x:c r="B194" s="37" t="str">
        <x:v>內部連結機會推薦器</x:v>
      </x:c>
      <x:c r="C194" s="37" t="str">
        <x:v>行銷／MarTech</x:v>
      </x:c>
      <x:c r="D194" s="37" t="str">
        <x:v>SEO 與發現</x:v>
      </x:c>
      <x:c r="E194" s="37" t="str">
        <x:v>行銷、品牌、電商、策略</x:v>
      </x:c>
      <x:c r="F194" s="37" t="str">
        <x:v>行銷主管、內容團隊、成長經理、品牌經理</x:v>
      </x:c>
      <x:c r="G194" s="37" t="str">
        <x:v>現行作法對「以主題關聯與頁面權重推薦連結」多靠人工彙整、個人經驗或事後處理，難以一致追蹤，造成決策延遲與重工。</x:v>
      </x:c>
      <x:c r="H194" s="37" t="str">
        <x:v>資料／事件接入；以主題關聯與頁面權重推薦連結；證據與信心呈現；例外分流與人工覆核；強化網站結構成效追蹤；完整稽核軌跡</x:v>
      </x:c>
      <x:c r="I194" s="37" t="str">
        <x:v>RAG 檢索與來源引用；規則＋模型混合判斷；矛盾檢查；專門模型焦點：以主題關聯與頁面權重推薦連結</x:v>
      </x:c>
      <x:c r="J194" s="37" t="str">
        <x:v>與多個專業 Agent 協作拆解任務，保留交接證據、逾時升級並在失敗時安全回滾</x:v>
      </x:c>
      <x:c r="K194" s="37" t="str">
        <x:v>L3 可執行／關鍵核准</x:v>
      </x:c>
      <x:c r="L194" s="37" t="str">
        <x:v>內容、活動、廣告、網站、搜尋、社群、競品、客戶行為與品牌規範</x:v>
      </x:c>
      <x:c r="M194" s="37" t="str">
        <x:v>CRM、CDP、CMS、廣告平台、GA、社群聆聽、DAM</x:v>
      </x:c>
      <x:c r="N194" s="37" t="str">
        <x:v>B2B 企業要用有限人力持續產出可信內容、優化投放並掌握市場訊號。Demo：匯入一組去識別資料，觸發「以主題關聯與頁面權重推薦連結」，由系統提出證據、建議與下一步；使用者核准後回寫任務，最後呈現「強化網站結構」前後差異。</x:v>
      </x:c>
      <x:c r="O194" s="37" t="str">
        <x:v>中低</x:v>
      </x:c>
      <x:c r="P194" s="37" t="str">
        <x:v>鄰近既有能力：原有 CRM/行銷可能做名單與活動；本群聚焦內容智能、實驗、品牌與跨渠道決策。本 App 的獨立邊界是「以主題關聯與頁面權重推薦連結」，主要產出為「強化網站結構」，不是一般登錄、查詢或看板。</x:v>
      </x:c>
      <x:c r="Q194" s="38" t="n">
        <x:v>3</x:v>
      </x:c>
      <x:c r="R194" s="38" t="n">
        <x:v>4</x:v>
      </x:c>
      <x:c r="S194" s="38" t="str">
        <x:v>P2</x:v>
      </x:c>
      <x:c r="T194" s="38" t="n">
        <x:v>9</x:v>
      </x:c>
      <x:c r="U194" s="39" t="str">
        <x:v>Wave 3 垂直擴充</x:v>
      </x:c>
    </x:row>
    <x:row r="195" ht="86" customHeight="1">
      <x:c r="A195" s="36" t="str">
        <x:v>JV-191</x:v>
      </x:c>
      <x:c r="B195" s="37" t="str">
        <x:v>廣告創意疲勞偵測器</x:v>
      </x:c>
      <x:c r="C195" s="37" t="str">
        <x:v>行銷／MarTech</x:v>
      </x:c>
      <x:c r="D195" s="37" t="str">
        <x:v>廣告智能</x:v>
      </x:c>
      <x:c r="E195" s="37" t="str">
        <x:v>行銷、品牌、電商、策略</x:v>
      </x:c>
      <x:c r="F195" s="37" t="str">
        <x:v>行銷主管、內容團隊、成長經理、品牌經理</x:v>
      </x:c>
      <x:c r="G195" s="37" t="str">
        <x:v>現行作法對「辨識素材頻率、受眾反應與轉換衰退」多靠人工彙整、個人經驗或事後處理，難以一致追蹤，造成決策延遲與重工。</x:v>
      </x:c>
      <x:c r="H195" s="37" t="str">
        <x:v>資料／事件接入；辨識素材頻率、受眾反應與轉換衰退；證據與信心呈現；例外分流與人工覆核；及時換素材成效追蹤；完整稽核軌跡</x:v>
      </x:c>
      <x:c r="I195" s="37" t="str">
        <x:v>語意分類與實體抽取；風險／信心評分；具證據的生成與摘要；專門模型焦點：辨識素材頻率、受眾反應與轉換衰退</x:v>
      </x:c>
      <x:c r="J195" s="37" t="str">
        <x:v>持續監測事件，達門檻後建立案件、蒐集證據、指派責任並追蹤結案；高風險動作需人工核准</x:v>
      </x:c>
      <x:c r="K195" s="37" t="str">
        <x:v>L3 可執行／關鍵核准</x:v>
      </x:c>
      <x:c r="L195" s="37" t="str">
        <x:v>內容、活動、廣告、網站、搜尋、社群、競品、客戶行為與品牌規範</x:v>
      </x:c>
      <x:c r="M195" s="37" t="str">
        <x:v>CRM、CDP、CMS、廣告平台、GA、社群聆聽、DAM</x:v>
      </x:c>
      <x:c r="N195" s="37" t="str">
        <x:v>B2B 企業要用有限人力持續產出可信內容、優化投放並掌握市場訊號。Demo：匯入一組去識別資料，觸發「辨識素材頻率、受眾反應與轉換衰退」，由系統提出證據、建議與下一步；使用者核准後回寫任務，最後呈現「及時換素材」前後差異。</x:v>
      </x:c>
      <x:c r="O195" s="37" t="str">
        <x:v>中</x:v>
      </x:c>
      <x:c r="P195" s="37" t="str">
        <x:v>鄰近既有能力：原有 CRM/行銷可能做名單與活動；本群聚焦內容智能、實驗、品牌與跨渠道決策。本 App 的獨立邊界是「辨識素材頻率、受眾反應與轉換衰退」，主要產出為「及時換素材」，不是一般登錄、查詢或看板。</x:v>
      </x:c>
      <x:c r="Q195" s="38" t="n">
        <x:v>4</x:v>
      </x:c>
      <x:c r="R195" s="38" t="n">
        <x:v>2</x:v>
      </x:c>
      <x:c r="S195" s="38" t="str">
        <x:v>P1</x:v>
      </x:c>
      <x:c r="T195" s="38" t="n">
        <x:v>5</x:v>
      </x:c>
      <x:c r="U195" s="39" t="str">
        <x:v>Wave 2 高價值套件</x:v>
      </x:c>
    </x:row>
    <x:row r="196" ht="86" customHeight="1">
      <x:c r="A196" s="36" t="str">
        <x:v>JV-192</x:v>
      </x:c>
      <x:c r="B196" s="37" t="str">
        <x:v>跨平台預算邊際配置器</x:v>
      </x:c>
      <x:c r="C196" s="37" t="str">
        <x:v>行銷／MarTech</x:v>
      </x:c>
      <x:c r="D196" s="37" t="str">
        <x:v>廣告智能</x:v>
      </x:c>
      <x:c r="E196" s="37" t="str">
        <x:v>行銷、品牌、電商、策略</x:v>
      </x:c>
      <x:c r="F196" s="37" t="str">
        <x:v>行銷主管、內容團隊、成長經理、品牌經理</x:v>
      </x:c>
      <x:c r="G196" s="37" t="str">
        <x:v>現行作法對「依增量回報而非表面歸因調整預算」多靠人工彙整、個人經驗或事後處理，難以一致追蹤，造成決策延遲與重工。</x:v>
      </x:c>
      <x:c r="H196" s="37" t="str">
        <x:v>資料／事件接入；依增量回報而非表面歸因調整預算；證據與信心呈現；例外分流與人工覆核；提高投資效益成效追蹤；完整稽核軌跡</x:v>
      </x:c>
      <x:c r="I196" s="37" t="str">
        <x:v>預測與情境模擬；多目標最佳化；不確定性呈現；專門模型焦點：依增量回報而非表面歸因調整預算</x:v>
      </x:c>
      <x:c r="J196" s="37" t="str">
        <x:v>定期掃描資料與外部訊號，提出優先序與建議；經核准後同步任務與更新來源系統</x:v>
      </x:c>
      <x:c r="K196" s="37" t="str">
        <x:v>L3 可執行／關鍵核准</x:v>
      </x:c>
      <x:c r="L196" s="37" t="str">
        <x:v>內容、活動、廣告、網站、搜尋、社群、競品、客戶行為與品牌規範</x:v>
      </x:c>
      <x:c r="M196" s="37" t="str">
        <x:v>CRM、CDP、CMS、廣告平台、GA、社群聆聽、DAM</x:v>
      </x:c>
      <x:c r="N196" s="37" t="str">
        <x:v>B2B 企業要用有限人力持續產出可信內容、優化投放並掌握市場訊號。Demo：匯入一組去識別資料，觸發「依增量回報而非表面歸因調整預算」，由系統提出證據、建議與下一步；使用者核准後回寫任務，最後呈現「提高投資效益」前後差異。</x:v>
      </x:c>
      <x:c r="O196" s="37" t="str">
        <x:v>中低</x:v>
      </x:c>
      <x:c r="P196" s="37" t="str">
        <x:v>鄰近既有能力：原有 CRM/行銷可能做名單與活動；本群聚焦內容智能、實驗、品牌與跨渠道決策。本 App 的獨立邊界是「依增量回報而非表面歸因調整預算」，主要產出為「提高投資效益」，不是一般登錄、查詢或看板。</x:v>
      </x:c>
      <x:c r="Q196" s="38" t="n">
        <x:v>4</x:v>
      </x:c>
      <x:c r="R196" s="38" t="n">
        <x:v>3</x:v>
      </x:c>
      <x:c r="S196" s="38" t="str">
        <x:v>P1</x:v>
      </x:c>
      <x:c r="T196" s="38" t="n">
        <x:v>7</x:v>
      </x:c>
      <x:c r="U196" s="39" t="str">
        <x:v>Wave 2 高價值套件</x:v>
      </x:c>
    </x:row>
    <x:row r="197" ht="86" customHeight="1">
      <x:c r="A197" s="36" t="str">
        <x:v>JV-193</x:v>
      </x:c>
      <x:c r="B197" s="37" t="str">
        <x:v>廣告承諾一致性稽核員</x:v>
      </x:c>
      <x:c r="C197" s="37" t="str">
        <x:v>行銷／MarTech</x:v>
      </x:c>
      <x:c r="D197" s="37" t="str">
        <x:v>廣告智能</x:v>
      </x:c>
      <x:c r="E197" s="37" t="str">
        <x:v>行銷、品牌、電商、策略</x:v>
      </x:c>
      <x:c r="F197" s="37" t="str">
        <x:v>行銷主管、內容團隊、成長經理、品牌經理</x:v>
      </x:c>
      <x:c r="G197" s="37" t="str">
        <x:v>現行作法對「比對廣告、落地頁與產品事實」多靠人工彙整、個人經驗或事後處理，難以一致追蹤，造成決策延遲與重工。</x:v>
      </x:c>
      <x:c r="H197" s="37" t="str">
        <x:v>資料／事件接入；比對廣告、落地頁與產品事實；證據與信心呈現；例外分流與人工覆核；避免誤導成效追蹤；完整稽核軌跡</x:v>
      </x:c>
      <x:c r="I197" s="37" t="str">
        <x:v>跨文件／跨系統比對；圖譜推理；差異與缺口生成；專門模型焦點：比對廣告、落地頁與產品事實</x:v>
      </x:c>
      <x:c r="J197" s="37" t="str">
        <x:v>以人機協作模式先產生草案與證據包，接受修改後執行核准步驟並建立完整稽核軌跡</x:v>
      </x:c>
      <x:c r="K197" s="37" t="str">
        <x:v>L3 可執行／關鍵核准</x:v>
      </x:c>
      <x:c r="L197" s="37" t="str">
        <x:v>內容、活動、廣告、網站、搜尋、社群、競品、客戶行為與品牌規範</x:v>
      </x:c>
      <x:c r="M197" s="37" t="str">
        <x:v>CRM、CDP、CMS、廣告平台、GA、社群聆聽、DAM</x:v>
      </x:c>
      <x:c r="N197" s="37" t="str">
        <x:v>B2B 企業要用有限人力持續產出可信內容、優化投放並掌握市場訊號。Demo：匯入一組去識別資料，觸發「比對廣告、落地頁與產品事實」，由系統提出證據、建議與下一步；使用者核准後回寫任務，最後呈現「避免誤導」前後差異。</x:v>
      </x:c>
      <x:c r="O197" s="37" t="str">
        <x:v>中低</x:v>
      </x:c>
      <x:c r="P197" s="37" t="str">
        <x:v>鄰近既有能力：原有 CRM/行銷可能做名單與活動；本群聚焦內容智能、實驗、品牌與跨渠道決策。本 App 的獨立邊界是「比對廣告、落地頁與產品事實」，主要產出為「避免誤導」，不是一般登錄、查詢或看板。</x:v>
      </x:c>
      <x:c r="Q197" s="38" t="n">
        <x:v>4</x:v>
      </x:c>
      <x:c r="R197" s="38" t="n">
        <x:v>3</x:v>
      </x:c>
      <x:c r="S197" s="38" t="str">
        <x:v>P1</x:v>
      </x:c>
      <x:c r="T197" s="38" t="n">
        <x:v>7</x:v>
      </x:c>
      <x:c r="U197" s="39" t="str">
        <x:v>Wave 2 高價值套件</x:v>
      </x:c>
    </x:row>
    <x:row r="198" ht="86" customHeight="1">
      <x:c r="A198" s="36" t="str">
        <x:v>JV-194</x:v>
      </x:c>
      <x:c r="B198" s="37" t="str">
        <x:v>B2B 帳戶廣告編排器</x:v>
      </x:c>
      <x:c r="C198" s="37" t="str">
        <x:v>行銷／MarTech</x:v>
      </x:c>
      <x:c r="D198" s="37" t="str">
        <x:v>廣告智能</x:v>
      </x:c>
      <x:c r="E198" s="37" t="str">
        <x:v>行銷、品牌、電商、策略</x:v>
      </x:c>
      <x:c r="F198" s="37" t="str">
        <x:v>行銷主管、內容團隊、成長經理、品牌經理</x:v>
      </x:c>
      <x:c r="G198" s="37" t="str">
        <x:v>現行作法對「依目標帳戶階段選擇訊息、渠道與頻率」多靠人工彙整、個人經驗或事後處理，難以一致追蹤，造成決策延遲與重工。</x:v>
      </x:c>
      <x:c r="H198" s="37" t="str">
        <x:v>資料／事件接入；依目標帳戶階段選擇訊息、渠道與頻率；證據與信心呈現；例外分流與人工覆核；提升 ABM 成效成效追蹤；完整稽核軌跡</x:v>
      </x:c>
      <x:c r="I198" s="37" t="str">
        <x:v>異常偵測；因果線索分析；可解釋的建議排序；專門模型焦點：依目標帳戶階段選擇訊息、渠道與頻率</x:v>
      </x:c>
      <x:c r="J198" s="37" t="str">
        <x:v>依目標自主規劃步驟、呼叫核准工具、遇到例外改走人工佇列，完成後驗證結果並回報</x:v>
      </x:c>
      <x:c r="K198" s="37" t="str">
        <x:v>L3 可執行／關鍵核准</x:v>
      </x:c>
      <x:c r="L198" s="37" t="str">
        <x:v>內容、活動、廣告、網站、搜尋、社群、競品、客戶行為與品牌規範</x:v>
      </x:c>
      <x:c r="M198" s="37" t="str">
        <x:v>CRM、CDP、CMS、廣告平台、GA、社群聆聽、DAM</x:v>
      </x:c>
      <x:c r="N198" s="37" t="str">
        <x:v>B2B 企業要用有限人力持續產出可信內容、優化投放並掌握市場訊號。Demo：匯入一組去識別資料，觸發「依目標帳戶階段選擇訊息、渠道與頻率」，由系統提出證據、建議與下一步；使用者核准後回寫任務，最後呈現「提升 ABM 成效」前後差異。</x:v>
      </x:c>
      <x:c r="O198" s="37" t="str">
        <x:v>中</x:v>
      </x:c>
      <x:c r="P198" s="37" t="str">
        <x:v>鄰近既有能力：原有 CRM/行銷可能做名單與活動；本群聚焦內容智能、實驗、品牌與跨渠道決策。本 App 的獨立邊界是「依目標帳戶階段選擇訊息、渠道與頻率」，主要產出為「提升 ABM 成效」，不是一般登錄、查詢或看板。</x:v>
      </x:c>
      <x:c r="Q198" s="38" t="n">
        <x:v>4</x:v>
      </x:c>
      <x:c r="R198" s="38" t="n">
        <x:v>3</x:v>
      </x:c>
      <x:c r="S198" s="38" t="str">
        <x:v>P1</x:v>
      </x:c>
      <x:c r="T198" s="38" t="n">
        <x:v>7</x:v>
      </x:c>
      <x:c r="U198" s="39" t="str">
        <x:v>Wave 2 高價值套件</x:v>
      </x:c>
    </x:row>
    <x:row r="199" ht="86" customHeight="1">
      <x:c r="A199" s="36" t="str">
        <x:v>JV-195</x:v>
      </x:c>
      <x:c r="B199" s="37" t="str">
        <x:v>低品質流量偵測器</x:v>
      </x:c>
      <x:c r="C199" s="37" t="str">
        <x:v>行銷／MarTech</x:v>
      </x:c>
      <x:c r="D199" s="37" t="str">
        <x:v>廣告智能</x:v>
      </x:c>
      <x:c r="E199" s="37" t="str">
        <x:v>行銷、品牌、電商、策略</x:v>
      </x:c>
      <x:c r="F199" s="37" t="str">
        <x:v>行銷主管、內容團隊、成長經理、品牌經理</x:v>
      </x:c>
      <x:c r="G199" s="37" t="str">
        <x:v>現行作法對「識別機器人、誤點與無效來源」多靠人工彙整、個人經驗或事後處理，難以一致追蹤，造成決策延遲與重工。</x:v>
      </x:c>
      <x:c r="H199" s="37" t="str">
        <x:v>資料／事件接入；識別機器人、誤點與無效來源；證據與信心呈現；例外分流與人工覆核；減少浪費成效追蹤；完整稽核軌跡</x:v>
      </x:c>
      <x:c r="I199" s="37" t="str">
        <x:v>RAG 檢索與來源引用；規則＋模型混合判斷；矛盾檢查；專門模型焦點：識別機器人、誤點與無效來源</x:v>
      </x:c>
      <x:c r="J199" s="37" t="str">
        <x:v>與多個專業 Agent 協作拆解任務，保留交接證據、逾時升級並在失敗時安全回滾</x:v>
      </x:c>
      <x:c r="K199" s="37" t="str">
        <x:v>L3 可執行／關鍵核准</x:v>
      </x:c>
      <x:c r="L199" s="37" t="str">
        <x:v>內容、活動、廣告、網站、搜尋、社群、競品、客戶行為與品牌規範</x:v>
      </x:c>
      <x:c r="M199" s="37" t="str">
        <x:v>CRM、CDP、CMS、廣告平台、GA、社群聆聽、DAM</x:v>
      </x:c>
      <x:c r="N199" s="37" t="str">
        <x:v>B2B 企業要用有限人力持續產出可信內容、優化投放並掌握市場訊號。Demo：匯入一組去識別資料，觸發「識別機器人、誤點與無效來源」，由系統提出證據、建議與下一步；使用者核准後回寫任務，最後呈現「減少浪費」前後差異。</x:v>
      </x:c>
      <x:c r="O199" s="37" t="str">
        <x:v>中低</x:v>
      </x:c>
      <x:c r="P199" s="37" t="str">
        <x:v>鄰近既有能力：原有 CRM/行銷可能做名單與活動；本群聚焦內容智能、實驗、品牌與跨渠道決策。本 App 的獨立邊界是「識別機器人、誤點與無效來源」，主要產出為「減少浪費」，不是一般登錄、查詢或看板。</x:v>
      </x:c>
      <x:c r="Q199" s="38" t="n">
        <x:v>4</x:v>
      </x:c>
      <x:c r="R199" s="38" t="n">
        <x:v>4</x:v>
      </x:c>
      <x:c r="S199" s="38" t="str">
        <x:v>P1</x:v>
      </x:c>
      <x:c r="T199" s="38" t="n">
        <x:v>9</x:v>
      </x:c>
      <x:c r="U199" s="39" t="str">
        <x:v>Wave 2 高價值套件</x:v>
      </x:c>
    </x:row>
    <x:row r="200" ht="86" customHeight="1">
      <x:c r="A200" s="36" t="str">
        <x:v>JV-196</x:v>
      </x:c>
      <x:c r="B200" s="37" t="str">
        <x:v>品牌語氣一致性守門員</x:v>
      </x:c>
      <x:c r="C200" s="37" t="str">
        <x:v>行銷／MarTech</x:v>
      </x:c>
      <x:c r="D200" s="37" t="str">
        <x:v>品牌治理</x:v>
      </x:c>
      <x:c r="E200" s="37" t="str">
        <x:v>行銷、品牌、電商、策略</x:v>
      </x:c>
      <x:c r="F200" s="37" t="str">
        <x:v>行銷主管、內容團隊、成長經理、品牌經理</x:v>
      </x:c>
      <x:c r="G200" s="37" t="str">
        <x:v>現行作法對「跨文案檢查語氣、用詞與禁語」多靠人工彙整、個人經驗或事後處理，難以一致追蹤，造成決策延遲與重工。</x:v>
      </x:c>
      <x:c r="H200" s="37" t="str">
        <x:v>資料／事件接入；跨文案檢查語氣、用詞與禁語；證據與信心呈現；例外分流與人工覆核；維持品牌一致成效追蹤；完整稽核軌跡</x:v>
      </x:c>
      <x:c r="I200" s="37" t="str">
        <x:v>語意分類與實體抽取；風險／信心評分；具證據的生成與摘要；專門模型焦點：跨文案檢查語氣、用詞與禁語</x:v>
      </x:c>
      <x:c r="J200" s="37" t="str">
        <x:v>持續監測事件，達門檻後建立案件、蒐集證據、指派責任並追蹤結案；高風險動作需人工核准</x:v>
      </x:c>
      <x:c r="K200" s="37" t="str">
        <x:v>L3 可執行／關鍵核准</x:v>
      </x:c>
      <x:c r="L200" s="37" t="str">
        <x:v>內容、活動、廣告、網站、搜尋、社群、競品、客戶行為與品牌規範</x:v>
      </x:c>
      <x:c r="M200" s="37" t="str">
        <x:v>CRM、CDP、CMS、廣告平台、GA、社群聆聽、DAM</x:v>
      </x:c>
      <x:c r="N200" s="37" t="str">
        <x:v>B2B 企業要用有限人力持續產出可信內容、優化投放並掌握市場訊號。Demo：匯入一組去識別資料，觸發「跨文案檢查語氣、用詞與禁語」，由系統提出證據、建議與下一步；使用者核准後回寫任務，最後呈現「維持品牌一致」前後差異。</x:v>
      </x:c>
      <x:c r="O200" s="37" t="str">
        <x:v>中</x:v>
      </x:c>
      <x:c r="P200" s="37" t="str">
        <x:v>鄰近既有能力：原有 CRM/行銷可能做名單與活動；本群聚焦內容智能、實驗、品牌與跨渠道決策。本 App 的獨立邊界是「跨文案檢查語氣、用詞與禁語」，主要產出為「維持品牌一致」，不是一般登錄、查詢或看板。</x:v>
      </x:c>
      <x:c r="Q200" s="38" t="n">
        <x:v>4</x:v>
      </x:c>
      <x:c r="R200" s="38" t="n">
        <x:v>2</x:v>
      </x:c>
      <x:c r="S200" s="38" t="str">
        <x:v>P1</x:v>
      </x:c>
      <x:c r="T200" s="38" t="n">
        <x:v>5</x:v>
      </x:c>
      <x:c r="U200" s="39" t="str">
        <x:v>Wave 2 高價值套件</x:v>
      </x:c>
    </x:row>
    <x:row r="201" ht="86" customHeight="1">
      <x:c r="A201" s="36" t="str">
        <x:v>JV-197</x:v>
      </x:c>
      <x:c r="B201" s="37" t="str">
        <x:v>視覺資產合規檢查器</x:v>
      </x:c>
      <x:c r="C201" s="37" t="str">
        <x:v>行銷／MarTech</x:v>
      </x:c>
      <x:c r="D201" s="37" t="str">
        <x:v>品牌治理</x:v>
      </x:c>
      <x:c r="E201" s="37" t="str">
        <x:v>行銷、品牌、電商、策略</x:v>
      </x:c>
      <x:c r="F201" s="37" t="str">
        <x:v>行銷主管、內容團隊、成長經理、品牌經理</x:v>
      </x:c>
      <x:c r="G201" s="37" t="str">
        <x:v>現行作法對「辨識 Logo、安全距離、色彩與版本誤用」多靠人工彙整、個人經驗或事後處理，難以一致追蹤，造成決策延遲與重工。</x:v>
      </x:c>
      <x:c r="H201" s="37" t="str">
        <x:v>資料／事件接入；辨識 Logo、安全距離、色彩與版本誤用；證據與信心呈現；例外分流與人工覆核；降低品牌偏差成效追蹤；完整稽核軌跡</x:v>
      </x:c>
      <x:c r="I201" s="37" t="str">
        <x:v>預測與情境模擬；多目標最佳化；不確定性呈現；專門模型焦點：辨識 Logo、安全距離、色彩與版本誤用</x:v>
      </x:c>
      <x:c r="J201" s="37" t="str">
        <x:v>定期掃描資料與外部訊號，提出優先序與建議；經核准後同步任務與更新來源系統</x:v>
      </x:c>
      <x:c r="K201" s="37" t="str">
        <x:v>L3 可執行／關鍵核准</x:v>
      </x:c>
      <x:c r="L201" s="37" t="str">
        <x:v>內容、活動、廣告、網站、搜尋、社群、競品、客戶行為與品牌規範</x:v>
      </x:c>
      <x:c r="M201" s="37" t="str">
        <x:v>CRM、CDP、CMS、廣告平台、GA、社群聆聽、DAM</x:v>
      </x:c>
      <x:c r="N201" s="37" t="str">
        <x:v>B2B 企業要用有限人力持續產出可信內容、優化投放並掌握市場訊號。Demo：匯入一組去識別資料，觸發「辨識 Logo、安全距離、色彩與版本誤用」，由系統提出證據、建議與下一步；使用者核准後回寫任務，最後呈現「降低品牌偏差」前後差異。</x:v>
      </x:c>
      <x:c r="O201" s="37" t="str">
        <x:v>中低</x:v>
      </x:c>
      <x:c r="P201" s="37" t="str">
        <x:v>鄰近既有能力：原有 CRM/行銷可能做名單與活動；本群聚焦內容智能、實驗、品牌與跨渠道決策。本 App 的獨立邊界是「辨識 Logo、安全距離、色彩與版本誤用」，主要產出為「降低品牌偏差」，不是一般登錄、查詢或看板。</x:v>
      </x:c>
      <x:c r="Q201" s="38" t="n">
        <x:v>4</x:v>
      </x:c>
      <x:c r="R201" s="38" t="n">
        <x:v>3</x:v>
      </x:c>
      <x:c r="S201" s="38" t="str">
        <x:v>P1</x:v>
      </x:c>
      <x:c r="T201" s="38" t="n">
        <x:v>7</x:v>
      </x:c>
      <x:c r="U201" s="39" t="str">
        <x:v>Wave 2 高價值套件</x:v>
      </x:c>
    </x:row>
    <x:row r="202" ht="86" customHeight="1">
      <x:c r="A202" s="36" t="str">
        <x:v>JV-198</x:v>
      </x:c>
      <x:c r="B202" s="37" t="str">
        <x:v>品牌風險早期雷達</x:v>
      </x:c>
      <x:c r="C202" s="37" t="str">
        <x:v>行銷／MarTech</x:v>
      </x:c>
      <x:c r="D202" s="37" t="str">
        <x:v>品牌治理</x:v>
      </x:c>
      <x:c r="E202" s="37" t="str">
        <x:v>行銷、品牌、電商、策略</x:v>
      </x:c>
      <x:c r="F202" s="37" t="str">
        <x:v>行銷主管、內容團隊、成長經理、品牌經理</x:v>
      </x:c>
      <x:c r="G202" s="37" t="str">
        <x:v>現行作法對「從新聞、社群與客服訊號偵測新興議題」多靠人工彙整、個人經驗或事後處理，難以一致追蹤，造成決策延遲與重工。</x:v>
      </x:c>
      <x:c r="H202" s="37" t="str">
        <x:v>資料／事件接入；從新聞、社群與客服訊號偵測新興議題；證據與信心呈現；例外分流與人工覆核；提前應對成效追蹤；完整稽核軌跡</x:v>
      </x:c>
      <x:c r="I202" s="37" t="str">
        <x:v>跨文件／跨系統比對；圖譜推理；差異與缺口生成；專門模型焦點：從新聞、社群與客服訊號偵測新興議題</x:v>
      </x:c>
      <x:c r="J202" s="37" t="str">
        <x:v>以人機協作模式先產生草案與證據包，接受修改後執行核准步驟並建立完整稽核軌跡</x:v>
      </x:c>
      <x:c r="K202" s="37" t="str">
        <x:v>L3 可執行／關鍵核准</x:v>
      </x:c>
      <x:c r="L202" s="37" t="str">
        <x:v>內容、活動、廣告、網站、搜尋、社群、競品、客戶行為與品牌規範</x:v>
      </x:c>
      <x:c r="M202" s="37" t="str">
        <x:v>CRM、CDP、CMS、廣告平台、GA、社群聆聽、DAM</x:v>
      </x:c>
      <x:c r="N202" s="37" t="str">
        <x:v>B2B 企業要用有限人力持續產出可信內容、優化投放並掌握市場訊號。Demo：匯入一組去識別資料，觸發「從新聞、社群與客服訊號偵測新興議題」，由系統提出證據、建議與下一步；使用者核准後回寫任務，最後呈現「提前應對」前後差異。</x:v>
      </x:c>
      <x:c r="O202" s="37" t="str">
        <x:v>中低</x:v>
      </x:c>
      <x:c r="P202" s="37" t="str">
        <x:v>鄰近既有能力：原有 CRM/行銷可能做名單與活動；本群聚焦內容智能、實驗、品牌與跨渠道決策。本 App 的獨立邊界是「從新聞、社群與客服訊號偵測新興議題」，主要產出為「提前應對」，不是一般登錄、查詢或看板。</x:v>
      </x:c>
      <x:c r="Q202" s="38" t="n">
        <x:v>4</x:v>
      </x:c>
      <x:c r="R202" s="38" t="n">
        <x:v>3</x:v>
      </x:c>
      <x:c r="S202" s="38" t="str">
        <x:v>P1</x:v>
      </x:c>
      <x:c r="T202" s="38" t="n">
        <x:v>7</x:v>
      </x:c>
      <x:c r="U202" s="39" t="str">
        <x:v>Wave 2 高價值套件</x:v>
      </x:c>
    </x:row>
    <x:row r="203" ht="86" customHeight="1">
      <x:c r="A203" s="36" t="str">
        <x:v>JV-199</x:v>
      </x:c>
      <x:c r="B203" s="37" t="str">
        <x:v>品牌主張證據庫</x:v>
      </x:c>
      <x:c r="C203" s="37" t="str">
        <x:v>行銷／MarTech</x:v>
      </x:c>
      <x:c r="D203" s="37" t="str">
        <x:v>品牌治理</x:v>
      </x:c>
      <x:c r="E203" s="37" t="str">
        <x:v>行銷、品牌、電商、策略</x:v>
      </x:c>
      <x:c r="F203" s="37" t="str">
        <x:v>行銷主管、內容團隊、成長經理、品牌經理</x:v>
      </x:c>
      <x:c r="G203" s="37" t="str">
        <x:v>現行作法對「連結每項產品主張與可用證據及效期」多靠人工彙整、個人經驗或事後處理，難以一致追蹤，造成決策延遲與重工。</x:v>
      </x:c>
      <x:c r="H203" s="37" t="str">
        <x:v>資料／事件接入；連結每項產品主張與可用證據及效期；證據與信心呈現；例外分流與人工覆核；支援合規行銷成效追蹤；完整稽核軌跡</x:v>
      </x:c>
      <x:c r="I203" s="37" t="str">
        <x:v>異常偵測；因果線索分析；可解釋的建議排序；專門模型焦點：連結每項產品主張與可用證據及效期</x:v>
      </x:c>
      <x:c r="J203" s="37" t="str">
        <x:v>依目標自主規劃步驟、呼叫核准工具、遇到例外改走人工佇列，完成後驗證結果並回報</x:v>
      </x:c>
      <x:c r="K203" s="37" t="str">
        <x:v>L3 可執行／關鍵核准</x:v>
      </x:c>
      <x:c r="L203" s="37" t="str">
        <x:v>內容、活動、廣告、網站、搜尋、社群、競品、客戶行為與品牌規範</x:v>
      </x:c>
      <x:c r="M203" s="37" t="str">
        <x:v>CRM、CDP、CMS、廣告平台、GA、社群聆聽、DAM</x:v>
      </x:c>
      <x:c r="N203" s="37" t="str">
        <x:v>B2B 企業要用有限人力持續產出可信內容、優化投放並掌握市場訊號。Demo：匯入一組去識別資料，觸發「連結每項產品主張與可用證據及效期」，由系統提出證據、建議與下一步；使用者核准後回寫任務，最後呈現「支援合規行銷」前後差異。</x:v>
      </x:c>
      <x:c r="O203" s="37" t="str">
        <x:v>中</x:v>
      </x:c>
      <x:c r="P203" s="37" t="str">
        <x:v>鄰近既有能力：原有 CRM/行銷可能做名單與活動；本群聚焦內容智能、實驗、品牌與跨渠道決策。本 App 的獨立邊界是「連結每項產品主張與可用證據及效期」，主要產出為「支援合規行銷」，不是一般登錄、查詢或看板。</x:v>
      </x:c>
      <x:c r="Q203" s="38" t="n">
        <x:v>4</x:v>
      </x:c>
      <x:c r="R203" s="38" t="n">
        <x:v>3</x:v>
      </x:c>
      <x:c r="S203" s="38" t="str">
        <x:v>P1</x:v>
      </x:c>
      <x:c r="T203" s="38" t="n">
        <x:v>7</x:v>
      </x:c>
      <x:c r="U203" s="39" t="str">
        <x:v>Wave 2 高價值套件</x:v>
      </x:c>
    </x:row>
    <x:row r="204" ht="86" customHeight="1">
      <x:c r="A204" s="36" t="str">
        <x:v>JV-200</x:v>
      </x:c>
      <x:c r="B204" s="37" t="str">
        <x:v>仿冒與冒名網站獵人</x:v>
      </x:c>
      <x:c r="C204" s="37" t="str">
        <x:v>行銷／MarTech</x:v>
      </x:c>
      <x:c r="D204" s="37" t="str">
        <x:v>品牌治理</x:v>
      </x:c>
      <x:c r="E204" s="37" t="str">
        <x:v>行銷、品牌、電商、策略</x:v>
      </x:c>
      <x:c r="F204" s="37" t="str">
        <x:v>行銷主管、內容團隊、成長經理、品牌經理</x:v>
      </x:c>
      <x:c r="G204" s="37" t="str">
        <x:v>現行作法對「發現相似網域、素材與釣魚活動」多靠人工彙整、個人經驗或事後處理，難以一致追蹤，造成決策延遲與重工。</x:v>
      </x:c>
      <x:c r="H204" s="37" t="str">
        <x:v>資料／事件接入；發現相似網域、素材與釣魚活動；證據與信心呈現；例外分流與人工覆核；保護品牌與客戶成效追蹤；完整稽核軌跡</x:v>
      </x:c>
      <x:c r="I204" s="37" t="str">
        <x:v>RAG 檢索與來源引用；規則＋模型混合判斷；矛盾檢查；專門模型焦點：發現相似網域、素材與釣魚活動</x:v>
      </x:c>
      <x:c r="J204" s="37" t="str">
        <x:v>與多個專業 Agent 協作拆解任務，保留交接證據、逾時升級並在失敗時安全回滾</x:v>
      </x:c>
      <x:c r="K204" s="37" t="str">
        <x:v>L3 可執行／關鍵核准</x:v>
      </x:c>
      <x:c r="L204" s="37" t="str">
        <x:v>內容、活動、廣告、網站、搜尋、社群、競品、客戶行為與品牌規範</x:v>
      </x:c>
      <x:c r="M204" s="37" t="str">
        <x:v>CRM、CDP、CMS、廣告平台、GA、社群聆聽、DAM</x:v>
      </x:c>
      <x:c r="N204" s="37" t="str">
        <x:v>B2B 企業要用有限人力持續產出可信內容、優化投放並掌握市場訊號。Demo：匯入一組去識別資料，觸發「發現相似網域、素材與釣魚活動」，由系統提出證據、建議與下一步；使用者核准後回寫任務，最後呈現「保護品牌與客戶」前後差異。</x:v>
      </x:c>
      <x:c r="O204" s="37" t="str">
        <x:v>中低</x:v>
      </x:c>
      <x:c r="P204" s="37" t="str">
        <x:v>鄰近既有能力：原有 CRM/行銷可能做名單與活動；本群聚焦內容智能、實驗、品牌與跨渠道決策。本 App 的獨立邊界是「發現相似網域、素材與釣魚活動」，主要產出為「保護品牌與客戶」，不是一般登錄、查詢或看板。</x:v>
      </x:c>
      <x:c r="Q204" s="38" t="n">
        <x:v>4</x:v>
      </x:c>
      <x:c r="R204" s="38" t="n">
        <x:v>4</x:v>
      </x:c>
      <x:c r="S204" s="38" t="str">
        <x:v>P1</x:v>
      </x:c>
      <x:c r="T204" s="38" t="n">
        <x:v>9</x:v>
      </x:c>
      <x:c r="U204" s="39" t="str">
        <x:v>Wave 2 高價值套件</x:v>
      </x:c>
    </x:row>
    <x:row r="205" ht="86" customHeight="1">
      <x:c r="A205" s="36" t="str">
        <x:v>JV-201</x:v>
      </x:c>
      <x:c r="B205" s="37" t="str">
        <x:v>展會商機優先隊列</x:v>
      </x:c>
      <x:c r="C205" s="37" t="str">
        <x:v>行銷／MarTech</x:v>
      </x:c>
      <x:c r="D205" s="37" t="str">
        <x:v>活動與展會</x:v>
      </x:c>
      <x:c r="E205" s="37" t="str">
        <x:v>行銷、品牌、電商、策略</x:v>
      </x:c>
      <x:c r="F205" s="37" t="str">
        <x:v>行銷主管、內容團隊、成長經理、品牌經理</x:v>
      </x:c>
      <x:c r="G205" s="37" t="str">
        <x:v>現行作法對「依互動、角色、需求與時程即時排序」多靠人工彙整、個人經驗或事後處理，難以一致追蹤，造成決策延遲與重工。</x:v>
      </x:c>
      <x:c r="H205" s="37" t="str">
        <x:v>資料／事件接入；依互動、角色、需求與時程即時排序；證據與信心呈現；例外分流與人工覆核；讓業務先跟進高價值名單成效追蹤；完整稽核軌跡</x:v>
      </x:c>
      <x:c r="I205" s="37" t="str">
        <x:v>語意分類與實體抽取；風險／信心評分；具證據的生成與摘要；專門模型焦點：依互動、角色、需求與時程即時排序</x:v>
      </x:c>
      <x:c r="J205" s="37" t="str">
        <x:v>持續監測事件，達門檻後建立案件、蒐集證據、指派責任並追蹤結案；高風險動作需人工核准</x:v>
      </x:c>
      <x:c r="K205" s="37" t="str">
        <x:v>L3 可執行／關鍵核准</x:v>
      </x:c>
      <x:c r="L205" s="37" t="str">
        <x:v>內容、活動、廣告、網站、搜尋、社群、競品、客戶行為與品牌規範</x:v>
      </x:c>
      <x:c r="M205" s="37" t="str">
        <x:v>CRM、CDP、CMS、廣告平台、GA、社群聆聽、DAM</x:v>
      </x:c>
      <x:c r="N205" s="37" t="str">
        <x:v>B2B 企業要用有限人力持續產出可信內容、優化投放並掌握市場訊號。Demo：匯入一組去識別資料，觸發「依互動、角色、需求與時程即時排序」，由系統提出證據、建議與下一步；使用者核准後回寫任務，最後呈現「讓業務先跟進高價值名單」前後差異。</x:v>
      </x:c>
      <x:c r="O205" s="37" t="str">
        <x:v>中</x:v>
      </x:c>
      <x:c r="P205" s="37" t="str">
        <x:v>鄰近既有能力：原有 CRM/行銷可能做名單與活動；本群聚焦內容智能、實驗、品牌與跨渠道決策。本 App 的獨立邊界是「依互動、角色、需求與時程即時排序」，主要產出為「讓業務先跟進高價值名單」，不是一般登錄、查詢或看板。</x:v>
      </x:c>
      <x:c r="Q205" s="38" t="n">
        <x:v>3</x:v>
      </x:c>
      <x:c r="R205" s="38" t="n">
        <x:v>2</x:v>
      </x:c>
      <x:c r="S205" s="38" t="str">
        <x:v>P2</x:v>
      </x:c>
      <x:c r="T205" s="38" t="n">
        <x:v>5</x:v>
      </x:c>
      <x:c r="U205" s="39" t="str">
        <x:v>Wave 3 垂直擴充</x:v>
      </x:c>
    </x:row>
    <x:row r="206" ht="86" customHeight="1">
      <x:c r="A206" s="36" t="str">
        <x:v>JV-202</x:v>
      </x:c>
      <x:c r="B206" s="37" t="str">
        <x:v>活動議程個人化助手</x:v>
      </x:c>
      <x:c r="C206" s="37" t="str">
        <x:v>行銷／MarTech</x:v>
      </x:c>
      <x:c r="D206" s="37" t="str">
        <x:v>活動與展會</x:v>
      </x:c>
      <x:c r="E206" s="37" t="str">
        <x:v>行銷、品牌、電商、策略</x:v>
      </x:c>
      <x:c r="F206" s="37" t="str">
        <x:v>行銷主管、內容團隊、成長經理、品牌經理</x:v>
      </x:c>
      <x:c r="G206" s="37" t="str">
        <x:v>現行作法對「依參與者目標推薦議程與會談」多靠人工彙整、個人經驗或事後處理，難以一致追蹤，造成決策延遲與重工。</x:v>
      </x:c>
      <x:c r="H206" s="37" t="str">
        <x:v>資料／事件接入；依參與者目標推薦議程與會談；證據與信心呈現；例外分流與人工覆核；提升參與價值成效追蹤；完整稽核軌跡</x:v>
      </x:c>
      <x:c r="I206" s="37" t="str">
        <x:v>預測與情境模擬；多目標最佳化；不確定性呈現；專門模型焦點：依參與者目標推薦議程與會談</x:v>
      </x:c>
      <x:c r="J206" s="37" t="str">
        <x:v>定期掃描資料與外部訊號，提出優先序與建議；經核准後同步任務與更新來源系統</x:v>
      </x:c>
      <x:c r="K206" s="37" t="str">
        <x:v>L3 可執行／關鍵核准</x:v>
      </x:c>
      <x:c r="L206" s="37" t="str">
        <x:v>內容、活動、廣告、網站、搜尋、社群、競品、客戶行為與品牌規範</x:v>
      </x:c>
      <x:c r="M206" s="37" t="str">
        <x:v>CRM、CDP、CMS、廣告平台、GA、社群聆聽、DAM</x:v>
      </x:c>
      <x:c r="N206" s="37" t="str">
        <x:v>B2B 企業要用有限人力持續產出可信內容、優化投放並掌握市場訊號。Demo：匯入一組去識別資料，觸發「依參與者目標推薦議程與會談」，由系統提出證據、建議與下一步；使用者核准後回寫任務，最後呈現「提升參與價值」前後差異。</x:v>
      </x:c>
      <x:c r="O206" s="37" t="str">
        <x:v>中低</x:v>
      </x:c>
      <x:c r="P206" s="37" t="str">
        <x:v>鄰近既有能力：原有 CRM/行銷可能做名單與活動；本群聚焦內容智能、實驗、品牌與跨渠道決策。本 App 的獨立邊界是「依參與者目標推薦議程與會談」，主要產出為「提升參與價值」，不是一般登錄、查詢或看板。</x:v>
      </x:c>
      <x:c r="Q206" s="38" t="n">
        <x:v>4</x:v>
      </x:c>
      <x:c r="R206" s="38" t="n">
        <x:v>3</x:v>
      </x:c>
      <x:c r="S206" s="38" t="str">
        <x:v>P1</x:v>
      </x:c>
      <x:c r="T206" s="38" t="n">
        <x:v>7</x:v>
      </x:c>
      <x:c r="U206" s="39" t="str">
        <x:v>Wave 2 高價值套件</x:v>
      </x:c>
    </x:row>
    <x:row r="207" ht="86" customHeight="1">
      <x:c r="A207" s="36" t="str">
        <x:v>JV-203</x:v>
      </x:c>
      <x:c r="B207" s="37" t="str">
        <x:v>贊助效益歸因器</x:v>
      </x:c>
      <x:c r="C207" s="37" t="str">
        <x:v>行銷／MarTech</x:v>
      </x:c>
      <x:c r="D207" s="37" t="str">
        <x:v>活動與展會</x:v>
      </x:c>
      <x:c r="E207" s="37" t="str">
        <x:v>行銷、品牌、電商、策略</x:v>
      </x:c>
      <x:c r="F207" s="37" t="str">
        <x:v>行銷主管、內容團隊、成長經理、品牌經理</x:v>
      </x:c>
      <x:c r="G207" s="37" t="str">
        <x:v>現行作法對「連結曝光、互動、商機與營收」多靠人工彙整、個人經驗或事後處理，難以一致追蹤，造成決策延遲與重工。</x:v>
      </x:c>
      <x:c r="H207" s="37" t="str">
        <x:v>資料／事件接入；連結曝光、互動、商機與營收；證據與信心呈現；例外分流與人工覆核；量化贊助 ROI成效追蹤；完整稽核軌跡</x:v>
      </x:c>
      <x:c r="I207" s="37" t="str">
        <x:v>跨文件／跨系統比對；圖譜推理；差異與缺口生成；專門模型焦點：連結曝光、互動、商機與營收</x:v>
      </x:c>
      <x:c r="J207" s="37" t="str">
        <x:v>以人機協作模式先產生草案與證據包，接受修改後執行核准步驟並建立完整稽核軌跡</x:v>
      </x:c>
      <x:c r="K207" s="37" t="str">
        <x:v>L3 可執行／關鍵核准</x:v>
      </x:c>
      <x:c r="L207" s="37" t="str">
        <x:v>內容、活動、廣告、網站、搜尋、社群、競品、客戶行為與品牌規範</x:v>
      </x:c>
      <x:c r="M207" s="37" t="str">
        <x:v>CRM、CDP、CMS、廣告平台、GA、社群聆聽、DAM</x:v>
      </x:c>
      <x:c r="N207" s="37" t="str">
        <x:v>B2B 企業要用有限人力持續產出可信內容、優化投放並掌握市場訊號。Demo：匯入一組去識別資料，觸發「連結曝光、互動、商機與營收」，由系統提出證據、建議與下一步；使用者核准後回寫任務，最後呈現「量化贊助 ROI」前後差異。</x:v>
      </x:c>
      <x:c r="O207" s="37" t="str">
        <x:v>中低</x:v>
      </x:c>
      <x:c r="P207" s="37" t="str">
        <x:v>鄰近既有能力：原有 CRM/行銷可能做名單與活動；本群聚焦內容智能、實驗、品牌與跨渠道決策。本 App 的獨立邊界是「連結曝光、互動、商機與營收」，主要產出為「量化贊助 ROI」，不是一般登錄、查詢或看板。</x:v>
      </x:c>
      <x:c r="Q207" s="38" t="n">
        <x:v>4</x:v>
      </x:c>
      <x:c r="R207" s="38" t="n">
        <x:v>3</x:v>
      </x:c>
      <x:c r="S207" s="38" t="str">
        <x:v>P1</x:v>
      </x:c>
      <x:c r="T207" s="38" t="n">
        <x:v>7</x:v>
      </x:c>
      <x:c r="U207" s="39" t="str">
        <x:v>Wave 2 高價值套件</x:v>
      </x:c>
    </x:row>
    <x:row r="208" ht="86" customHeight="1">
      <x:c r="A208" s="36" t="str">
        <x:v>JV-204</x:v>
      </x:c>
      <x:c r="B208" s="37" t="str">
        <x:v>活動內容再製 Agent</x:v>
      </x:c>
      <x:c r="C208" s="37" t="str">
        <x:v>行銷／MarTech</x:v>
      </x:c>
      <x:c r="D208" s="37" t="str">
        <x:v>活動與展會</x:v>
      </x:c>
      <x:c r="E208" s="37" t="str">
        <x:v>行銷、品牌、電商、策略</x:v>
      </x:c>
      <x:c r="F208" s="37" t="str">
        <x:v>行銷主管、內容團隊、成長經理、品牌經理</x:v>
      </x:c>
      <x:c r="G208" s="37" t="str">
        <x:v>現行作法對「將演講與問答轉成可審核的多渠道內容」多靠人工彙整、個人經驗或事後處理，難以一致追蹤，造成決策延遲與重工。</x:v>
      </x:c>
      <x:c r="H208" s="37" t="str">
        <x:v>資料／事件接入；將演講與問答轉成可審核的多渠道內容；證據與信心呈現；例外分流與人工覆核；延續活動效益成效追蹤；完整稽核軌跡</x:v>
      </x:c>
      <x:c r="I208" s="37" t="str">
        <x:v>異常偵測；因果線索分析；可解釋的建議排序；專門模型焦點：將演講與問答轉成可審核的多渠道內容</x:v>
      </x:c>
      <x:c r="J208" s="37" t="str">
        <x:v>依目標自主規劃步驟、呼叫核准工具、遇到例外改走人工佇列，完成後驗證結果並回報</x:v>
      </x:c>
      <x:c r="K208" s="37" t="str">
        <x:v>L3 可執行／關鍵核准</x:v>
      </x:c>
      <x:c r="L208" s="37" t="str">
        <x:v>內容、活動、廣告、網站、搜尋、社群、競品、客戶行為與品牌規範</x:v>
      </x:c>
      <x:c r="M208" s="37" t="str">
        <x:v>CRM、CDP、CMS、廣告平台、GA、社群聆聽、DAM</x:v>
      </x:c>
      <x:c r="N208" s="37" t="str">
        <x:v>B2B 企業要用有限人力持續產出可信內容、優化投放並掌握市場訊號。Demo：匯入一組去識別資料，觸發「將演講與問答轉成可審核的多渠道內容」，由系統提出證據、建議與下一步；使用者核准後回寫任務，最後呈現「延續活動效益」前後差異。</x:v>
      </x:c>
      <x:c r="O208" s="37" t="str">
        <x:v>中</x:v>
      </x:c>
      <x:c r="P208" s="37" t="str">
        <x:v>鄰近既有能力：原有 CRM/行銷可能做名單與活動；本群聚焦內容智能、實驗、品牌與跨渠道決策。本 App 的獨立邊界是「將演講與問答轉成可審核的多渠道內容」，主要產出為「延續活動效益」，不是一般登錄、查詢或看板。</x:v>
      </x:c>
      <x:c r="Q208" s="38" t="n">
        <x:v>4</x:v>
      </x:c>
      <x:c r="R208" s="38" t="n">
        <x:v>3</x:v>
      </x:c>
      <x:c r="S208" s="38" t="str">
        <x:v>P1</x:v>
      </x:c>
      <x:c r="T208" s="38" t="n">
        <x:v>7</x:v>
      </x:c>
      <x:c r="U208" s="39" t="str">
        <x:v>Wave 2 高價值套件</x:v>
      </x:c>
    </x:row>
    <x:row r="209" ht="86" customHeight="1">
      <x:c r="A209" s="36" t="str">
        <x:v>JV-205</x:v>
      </x:c>
      <x:c r="B209" s="37" t="str">
        <x:v>會後承諾追蹤器</x:v>
      </x:c>
      <x:c r="C209" s="37" t="str">
        <x:v>行銷／MarTech</x:v>
      </x:c>
      <x:c r="D209" s="37" t="str">
        <x:v>活動與展會</x:v>
      </x:c>
      <x:c r="E209" s="37" t="str">
        <x:v>行銷、品牌、電商、策略</x:v>
      </x:c>
      <x:c r="F209" s="37" t="str">
        <x:v>行銷主管、內容團隊、成長經理、品牌經理</x:v>
      </x:c>
      <x:c r="G209" s="37" t="str">
        <x:v>現行作法對「把交換資料、寄送與會談承諾轉為任務」多靠人工彙整、個人經驗或事後處理，難以一致追蹤，造成決策延遲與重工。</x:v>
      </x:c>
      <x:c r="H209" s="37" t="str">
        <x:v>資料／事件接入；把交換資料、寄送與會談承諾轉為任務；證據與信心呈現；例外分流與人工覆核；避免名單沉睡成效追蹤；完整稽核軌跡</x:v>
      </x:c>
      <x:c r="I209" s="37" t="str">
        <x:v>RAG 檢索與來源引用；規則＋模型混合判斷；矛盾檢查；專門模型焦點：把交換資料、寄送與會談承諾轉為任務</x:v>
      </x:c>
      <x:c r="J209" s="37" t="str">
        <x:v>與多個專業 Agent 協作拆解任務，保留交接證據、逾時升級並在失敗時安全回滾</x:v>
      </x:c>
      <x:c r="K209" s="37" t="str">
        <x:v>L3 可執行／關鍵核准</x:v>
      </x:c>
      <x:c r="L209" s="37" t="str">
        <x:v>內容、活動、廣告、網站、搜尋、社群、競品、客戶行為與品牌規範</x:v>
      </x:c>
      <x:c r="M209" s="37" t="str">
        <x:v>CRM、CDP、CMS、廣告平台、GA、社群聆聽、DAM</x:v>
      </x:c>
      <x:c r="N209" s="37" t="str">
        <x:v>B2B 企業要用有限人力持續產出可信內容、優化投放並掌握市場訊號。Demo：匯入一組去識別資料，觸發「把交換資料、寄送與會談承諾轉為任務」，由系統提出證據、建議與下一步；使用者核准後回寫任務，最後呈現「避免名單沉睡」前後差異。</x:v>
      </x:c>
      <x:c r="O209" s="37" t="str">
        <x:v>中低</x:v>
      </x:c>
      <x:c r="P209" s="37" t="str">
        <x:v>鄰近既有能力：原有 CRM/行銷可能做名單與活動；本群聚焦內容智能、實驗、品牌與跨渠道決策。本 App 的獨立邊界是「把交換資料、寄送與會談承諾轉為任務」，主要產出為「避免名單沉睡」，不是一般登錄、查詢或看板。</x:v>
      </x:c>
      <x:c r="Q209" s="38" t="n">
        <x:v>4</x:v>
      </x:c>
      <x:c r="R209" s="38" t="n">
        <x:v>4</x:v>
      </x:c>
      <x:c r="S209" s="38" t="str">
        <x:v>P1</x:v>
      </x:c>
      <x:c r="T209" s="38" t="n">
        <x:v>9</x:v>
      </x:c>
      <x:c r="U209" s="39" t="str">
        <x:v>Wave 2 高價值套件</x:v>
      </x:c>
    </x:row>
    <x:row r="210" ht="86" customHeight="1">
      <x:c r="A210" s="36" t="str">
        <x:v>JV-206</x:v>
      </x:c>
      <x:c r="B210" s="37" t="str">
        <x:v>競品產品變更雷達</x:v>
      </x:c>
      <x:c r="C210" s="37" t="str">
        <x:v>行銷／MarTech</x:v>
      </x:c>
      <x:c r="D210" s="37" t="str">
        <x:v>競爭情報</x:v>
      </x:c>
      <x:c r="E210" s="37" t="str">
        <x:v>行銷、品牌、電商、策略</x:v>
      </x:c>
      <x:c r="F210" s="37" t="str">
        <x:v>行銷主管、內容團隊、成長經理、品牌經理</x:v>
      </x:c>
      <x:c r="G210" s="37" t="str">
        <x:v>現行作法對「追蹤功能、版本、定價與文件變動」多靠人工彙整、個人經驗或事後處理，難以一致追蹤，造成決策延遲與重工。</x:v>
      </x:c>
      <x:c r="H210" s="37" t="str">
        <x:v>資料／事件接入；追蹤功能、版本、定價與文件變動；證據與信心呈現；例外分流與人工覆核；更新競爭策略成效追蹤；完整稽核軌跡</x:v>
      </x:c>
      <x:c r="I210" s="37" t="str">
        <x:v>語意分類與實體抽取；風險／信心評分；具證據的生成與摘要；專門模型焦點：追蹤功能、版本、定價與文件變動</x:v>
      </x:c>
      <x:c r="J210" s="37" t="str">
        <x:v>持續監測事件，達門檻後建立案件、蒐集證據、指派責任並追蹤結案；高風險動作需人工核准</x:v>
      </x:c>
      <x:c r="K210" s="37" t="str">
        <x:v>L3 可執行／關鍵核准</x:v>
      </x:c>
      <x:c r="L210" s="37" t="str">
        <x:v>內容、活動、廣告、網站、搜尋、社群、競品、客戶行為與品牌規範</x:v>
      </x:c>
      <x:c r="M210" s="37" t="str">
        <x:v>CRM、CDP、CMS、廣告平台、GA、社群聆聽、DAM</x:v>
      </x:c>
      <x:c r="N210" s="37" t="str">
        <x:v>B2B 企業要用有限人力持續產出可信內容、優化投放並掌握市場訊號。Demo：匯入一組去識別資料，觸發「追蹤功能、版本、定價與文件變動」，由系統提出證據、建議與下一步；使用者核准後回寫任務，最後呈現「更新競爭策略」前後差異。</x:v>
      </x:c>
      <x:c r="O210" s="37" t="str">
        <x:v>中</x:v>
      </x:c>
      <x:c r="P210" s="37" t="str">
        <x:v>鄰近既有能力：原有 CRM/行銷可能做名單與活動；本群聚焦內容智能、實驗、品牌與跨渠道決策。本 App 的獨立邊界是「追蹤功能、版本、定價與文件變動」，主要產出為「更新競爭策略」，不是一般登錄、查詢或看板。</x:v>
      </x:c>
      <x:c r="Q210" s="38" t="n">
        <x:v>4</x:v>
      </x:c>
      <x:c r="R210" s="38" t="n">
        <x:v>2</x:v>
      </x:c>
      <x:c r="S210" s="38" t="str">
        <x:v>P1</x:v>
      </x:c>
      <x:c r="T210" s="38" t="n">
        <x:v>5</x:v>
      </x:c>
      <x:c r="U210" s="39" t="str">
        <x:v>Wave 2 高價值套件</x:v>
      </x:c>
    </x:row>
    <x:row r="211" ht="86" customHeight="1">
      <x:c r="A211" s="36" t="str">
        <x:v>JV-207</x:v>
      </x:c>
      <x:c r="B211" s="37" t="str">
        <x:v>競品人才訊號分析器</x:v>
      </x:c>
      <x:c r="C211" s="37" t="str">
        <x:v>行銷／MarTech</x:v>
      </x:c>
      <x:c r="D211" s="37" t="str">
        <x:v>競爭情報</x:v>
      </x:c>
      <x:c r="E211" s="37" t="str">
        <x:v>行銷、品牌、電商、策略</x:v>
      </x:c>
      <x:c r="F211" s="37" t="str">
        <x:v>行銷主管、內容團隊、成長經理、品牌經理</x:v>
      </x:c>
      <x:c r="G211" s="37" t="str">
        <x:v>現行作法對「從招募與人員流動推測投資方向」多靠人工彙整、個人經驗或事後處理，難以一致追蹤，造成決策延遲與重工。</x:v>
      </x:c>
      <x:c r="H211" s="37" t="str">
        <x:v>資料／事件接入；從招募與人員流動推測投資方向；證據與信心呈現；例外分流與人工覆核；提早判斷布局成效追蹤；完整稽核軌跡</x:v>
      </x:c>
      <x:c r="I211" s="37" t="str">
        <x:v>預測與情境模擬；多目標最佳化；不確定性呈現；專門模型焦點：從招募與人員流動推測投資方向</x:v>
      </x:c>
      <x:c r="J211" s="37" t="str">
        <x:v>定期掃描資料與外部訊號，提出優先序與建議；經核准後同步任務與更新來源系統</x:v>
      </x:c>
      <x:c r="K211" s="37" t="str">
        <x:v>L3 可執行／關鍵核准</x:v>
      </x:c>
      <x:c r="L211" s="37" t="str">
        <x:v>內容、活動、廣告、網站、搜尋、社群、競品、客戶行為與品牌規範</x:v>
      </x:c>
      <x:c r="M211" s="37" t="str">
        <x:v>CRM、CDP、CMS、廣告平台、GA、社群聆聽、DAM</x:v>
      </x:c>
      <x:c r="N211" s="37" t="str">
        <x:v>B2B 企業要用有限人力持續產出可信內容、優化投放並掌握市場訊號。Demo：匯入一組去識別資料，觸發「從招募與人員流動推測投資方向」，由系統提出證據、建議與下一步；使用者核准後回寫任務，最後呈現「提早判斷布局」前後差異。</x:v>
      </x:c>
      <x:c r="O211" s="37" t="str">
        <x:v>中低</x:v>
      </x:c>
      <x:c r="P211" s="37" t="str">
        <x:v>鄰近既有能力：原有 CRM/行銷可能做名單與活動；本群聚焦內容智能、實驗、品牌與跨渠道決策。本 App 的獨立邊界是「從招募與人員流動推測投資方向」，主要產出為「提早判斷布局」，不是一般登錄、查詢或看板。</x:v>
      </x:c>
      <x:c r="Q211" s="38" t="n">
        <x:v>3</x:v>
      </x:c>
      <x:c r="R211" s="38" t="n">
        <x:v>3</x:v>
      </x:c>
      <x:c r="S211" s="38" t="str">
        <x:v>P2</x:v>
      </x:c>
      <x:c r="T211" s="38" t="n">
        <x:v>7</x:v>
      </x:c>
      <x:c r="U211" s="39" t="str">
        <x:v>Wave 3 垂直擴充</x:v>
      </x:c>
    </x:row>
    <x:row r="212" ht="86" customHeight="1">
      <x:c r="A212" s="36" t="str">
        <x:v>JV-208</x:v>
      </x:c>
      <x:c r="B212" s="37" t="str">
        <x:v>競品客戶聲音礦工</x:v>
      </x:c>
      <x:c r="C212" s="37" t="str">
        <x:v>行銷／MarTech</x:v>
      </x:c>
      <x:c r="D212" s="37" t="str">
        <x:v>競爭情報</x:v>
      </x:c>
      <x:c r="E212" s="37" t="str">
        <x:v>行銷、品牌、電商、策略</x:v>
      </x:c>
      <x:c r="F212" s="37" t="str">
        <x:v>行銷主管、內容團隊、成長經理、品牌經理</x:v>
      </x:c>
      <x:c r="G212" s="37" t="str">
        <x:v>現行作法對「彙整評論、論壇與案例中的優缺點」多靠人工彙整、個人經驗或事後處理，難以一致追蹤，造成決策延遲與重工。</x:v>
      </x:c>
      <x:c r="H212" s="37" t="str">
        <x:v>資料／事件接入；彙整評論、論壇與案例中的優缺點；證據與信心呈現；例外分流與人工覆核；找出差異化機會成效追蹤；完整稽核軌跡</x:v>
      </x:c>
      <x:c r="I212" s="37" t="str">
        <x:v>跨文件／跨系統比對；圖譜推理；差異與缺口生成；專門模型焦點：彙整評論、論壇與案例中的優缺點</x:v>
      </x:c>
      <x:c r="J212" s="37" t="str">
        <x:v>以人機協作模式先產生草案與證據包，接受修改後執行核准步驟並建立完整稽核軌跡</x:v>
      </x:c>
      <x:c r="K212" s="37" t="str">
        <x:v>L3 可執行／關鍵核准</x:v>
      </x:c>
      <x:c r="L212" s="37" t="str">
        <x:v>內容、活動、廣告、網站、搜尋、社群、競品、客戶行為與品牌規範</x:v>
      </x:c>
      <x:c r="M212" s="37" t="str">
        <x:v>CRM、CDP、CMS、廣告平台、GA、社群聆聽、DAM</x:v>
      </x:c>
      <x:c r="N212" s="37" t="str">
        <x:v>B2B 企業要用有限人力持續產出可信內容、優化投放並掌握市場訊號。Demo：匯入一組去識別資料，觸發「彙整評論、論壇與案例中的優缺點」，由系統提出證據、建議與下一步；使用者核准後回寫任務，最後呈現「找出差異化機會」前後差異。</x:v>
      </x:c>
      <x:c r="O212" s="37" t="str">
        <x:v>中低</x:v>
      </x:c>
      <x:c r="P212" s="37" t="str">
        <x:v>鄰近既有能力：原有 CRM/行銷可能做名單與活動；本群聚焦內容智能、實驗、品牌與跨渠道決策。本 App 的獨立邊界是「彙整評論、論壇與案例中的優缺點」，主要產出為「找出差異化機會」，不是一般登錄、查詢或看板。</x:v>
      </x:c>
      <x:c r="Q212" s="38" t="n">
        <x:v>4</x:v>
      </x:c>
      <x:c r="R212" s="38" t="n">
        <x:v>3</x:v>
      </x:c>
      <x:c r="S212" s="38" t="str">
        <x:v>P1</x:v>
      </x:c>
      <x:c r="T212" s="38" t="n">
        <x:v>7</x:v>
      </x:c>
      <x:c r="U212" s="39" t="str">
        <x:v>Wave 2 高價值套件</x:v>
      </x:c>
    </x:row>
    <x:row r="213" ht="86" customHeight="1">
      <x:c r="A213" s="36" t="str">
        <x:v>JV-209</x:v>
      </x:c>
      <x:c r="B213" s="37" t="str">
        <x:v>競爭戰卡自動更新器</x:v>
      </x:c>
      <x:c r="C213" s="37" t="str">
        <x:v>行銷／MarTech</x:v>
      </x:c>
      <x:c r="D213" s="37" t="str">
        <x:v>競爭情報</x:v>
      </x:c>
      <x:c r="E213" s="37" t="str">
        <x:v>行銷、品牌、電商、策略</x:v>
      </x:c>
      <x:c r="F213" s="37" t="str">
        <x:v>行銷主管、內容團隊、成長經理、品牌經理</x:v>
      </x:c>
      <x:c r="G213" s="37" t="str">
        <x:v>現行作法對「將最新證據更新到場景化話術與反駁」多靠人工彙整、個人經驗或事後處理，難以一致追蹤，造成決策延遲與重工。</x:v>
      </x:c>
      <x:c r="H213" s="37" t="str">
        <x:v>資料／事件接入；將最新證據更新到場景化話術與反駁；證據與信心呈現；例外分流與人工覆核；支援前線業務成效追蹤；完整稽核軌跡</x:v>
      </x:c>
      <x:c r="I213" s="37" t="str">
        <x:v>異常偵測；因果線索分析；可解釋的建議排序；專門模型焦點：將最新證據更新到場景化話術與反駁</x:v>
      </x:c>
      <x:c r="J213" s="37" t="str">
        <x:v>依目標自主規劃步驟、呼叫核准工具、遇到例外改走人工佇列，完成後驗證結果並回報</x:v>
      </x:c>
      <x:c r="K213" s="37" t="str">
        <x:v>L3 可執行／關鍵核准</x:v>
      </x:c>
      <x:c r="L213" s="37" t="str">
        <x:v>內容、活動、廣告、網站、搜尋、社群、競品、客戶行為與品牌規範</x:v>
      </x:c>
      <x:c r="M213" s="37" t="str">
        <x:v>CRM、CDP、CMS、廣告平台、GA、社群聆聽、DAM</x:v>
      </x:c>
      <x:c r="N213" s="37" t="str">
        <x:v>B2B 企業要用有限人力持續產出可信內容、優化投放並掌握市場訊號。Demo：匯入一組去識別資料，觸發「將最新證據更新到場景化話術與反駁」，由系統提出證據、建議與下一步；使用者核准後回寫任務，最後呈現「支援前線業務」前後差異。</x:v>
      </x:c>
      <x:c r="O213" s="37" t="str">
        <x:v>中</x:v>
      </x:c>
      <x:c r="P213" s="37" t="str">
        <x:v>鄰近既有能力：原有 CRM/行銷可能做名單與活動；本群聚焦內容智能、實驗、品牌與跨渠道決策。本 App 的獨立邊界是「將最新證據更新到場景化話術與反駁」，主要產出為「支援前線業務」，不是一般登錄、查詢或看板。</x:v>
      </x:c>
      <x:c r="Q213" s="38" t="n">
        <x:v>4</x:v>
      </x:c>
      <x:c r="R213" s="38" t="n">
        <x:v>3</x:v>
      </x:c>
      <x:c r="S213" s="38" t="str">
        <x:v>P1</x:v>
      </x:c>
      <x:c r="T213" s="38" t="n">
        <x:v>7</x:v>
      </x:c>
      <x:c r="U213" s="39" t="str">
        <x:v>Wave 2 高價值套件</x:v>
      </x:c>
    </x:row>
    <x:row r="214" ht="86" customHeight="1">
      <x:c r="A214" s="36" t="str">
        <x:v>JV-210</x:v>
      </x:c>
      <x:c r="B214" s="37" t="str">
        <x:v>市場訊號矛盾檢查器</x:v>
      </x:c>
      <x:c r="C214" s="37" t="str">
        <x:v>行銷／MarTech</x:v>
      </x:c>
      <x:c r="D214" s="37" t="str">
        <x:v>競爭情報</x:v>
      </x:c>
      <x:c r="E214" s="37" t="str">
        <x:v>行銷、品牌、電商、策略</x:v>
      </x:c>
      <x:c r="F214" s="37" t="str">
        <x:v>行銷主管、內容團隊、成長經理、品牌經理</x:v>
      </x:c>
      <x:c r="G214" s="37" t="str">
        <x:v>現行作法對「比對新聞、財報、價格與客戶訊號」多靠人工彙整、個人經驗或事後處理，難以一致追蹤，造成決策延遲與重工。</x:v>
      </x:c>
      <x:c r="H214" s="37" t="str">
        <x:v>資料／事件接入；比對新聞、財報、價格與客戶訊號；證據與信心呈現；例外分流與人工覆核；避免單一來源誤判成效追蹤；完整稽核軌跡</x:v>
      </x:c>
      <x:c r="I214" s="37" t="str">
        <x:v>RAG 檢索與來源引用；規則＋模型混合判斷；矛盾檢查；專門模型焦點：比對新聞、財報、價格與客戶訊號</x:v>
      </x:c>
      <x:c r="J214" s="37" t="str">
        <x:v>與多個專業 Agent 協作拆解任務，保留交接證據、逾時升級並在失敗時安全回滾</x:v>
      </x:c>
      <x:c r="K214" s="37" t="str">
        <x:v>L3 可執行／關鍵核准</x:v>
      </x:c>
      <x:c r="L214" s="37" t="str">
        <x:v>內容、活動、廣告、網站、搜尋、社群、競品、客戶行為與品牌規範</x:v>
      </x:c>
      <x:c r="M214" s="37" t="str">
        <x:v>CRM、CDP、CMS、廣告平台、GA、社群聆聽、DAM</x:v>
      </x:c>
      <x:c r="N214" s="37" t="str">
        <x:v>B2B 企業要用有限人力持續產出可信內容、優化投放並掌握市場訊號。Demo：匯入一組去識別資料，觸發「比對新聞、財報、價格與客戶訊號」，由系統提出證據、建議與下一步；使用者核准後回寫任務，最後呈現「避免單一來源誤判」前後差異。</x:v>
      </x:c>
      <x:c r="O214" s="37" t="str">
        <x:v>中低</x:v>
      </x:c>
      <x:c r="P214" s="37" t="str">
        <x:v>鄰近既有能力：原有 CRM/行銷可能做名單與活動；本群聚焦內容智能、實驗、品牌與跨渠道決策。本 App 的獨立邊界是「比對新聞、財報、價格與客戶訊號」，主要產出為「避免單一來源誤判」，不是一般登錄、查詢或看板。</x:v>
      </x:c>
      <x:c r="Q214" s="38" t="n">
        <x:v>4</x:v>
      </x:c>
      <x:c r="R214" s="38" t="n">
        <x:v>4</x:v>
      </x:c>
      <x:c r="S214" s="38" t="str">
        <x:v>P1</x:v>
      </x:c>
      <x:c r="T214" s="38" t="n">
        <x:v>9</x:v>
      </x:c>
      <x:c r="U214" s="39" t="str">
        <x:v>Wave 2 高價值套件</x:v>
      </x:c>
    </x:row>
    <x:row r="215" ht="86" customHeight="1">
      <x:c r="A215" s="36" t="str">
        <x:v>JV-211</x:v>
      </x:c>
      <x:c r="B215" s="37" t="str">
        <x:v>成長假設實驗設計器</x:v>
      </x:c>
      <x:c r="C215" s="37" t="str">
        <x:v>行銷／MarTech</x:v>
      </x:c>
      <x:c r="D215" s="37" t="str">
        <x:v>成長實驗</x:v>
      </x:c>
      <x:c r="E215" s="37" t="str">
        <x:v>行銷、品牌、電商、策略</x:v>
      </x:c>
      <x:c r="F215" s="37" t="str">
        <x:v>行銷主管、內容團隊、成長經理、品牌經理</x:v>
      </x:c>
      <x:c r="G215" s="37" t="str">
        <x:v>現行作法對「把機會轉成指標、樣本、停止條件與風險」多靠人工彙整、個人經驗或事後處理，難以一致追蹤，造成決策延遲與重工。</x:v>
      </x:c>
      <x:c r="H215" s="37" t="str">
        <x:v>資料／事件接入；把機會轉成指標、樣本、停止條件與風險；證據與信心呈現；例外分流與人工覆核；提高實驗品質成效追蹤；完整稽核軌跡</x:v>
      </x:c>
      <x:c r="I215" s="37" t="str">
        <x:v>語意分類與實體抽取；風險／信心評分；具證據的生成與摘要；專門模型焦點：把機會轉成指標、樣本、停止條件與風險</x:v>
      </x:c>
      <x:c r="J215" s="37" t="str">
        <x:v>持續監測事件，達門檻後建立案件、蒐集證據、指派責任並追蹤結案；高風險動作需人工核准</x:v>
      </x:c>
      <x:c r="K215" s="37" t="str">
        <x:v>L3 可執行／關鍵核准</x:v>
      </x:c>
      <x:c r="L215" s="37" t="str">
        <x:v>內容、活動、廣告、網站、搜尋、社群、競品、客戶行為與品牌規範</x:v>
      </x:c>
      <x:c r="M215" s="37" t="str">
        <x:v>CRM、CDP、CMS、廣告平台、GA、社群聆聽、DAM</x:v>
      </x:c>
      <x:c r="N215" s="37" t="str">
        <x:v>B2B 企業要用有限人力持續產出可信內容、優化投放並掌握市場訊號。Demo：匯入一組去識別資料，觸發「把機會轉成指標、樣本、停止條件與風險」，由系統提出證據、建議與下一步；使用者核准後回寫任務，最後呈現「提高實驗品質」前後差異。</x:v>
      </x:c>
      <x:c r="O215" s="37" t="str">
        <x:v>中</x:v>
      </x:c>
      <x:c r="P215" s="37" t="str">
        <x:v>鄰近既有能力：原有 CRM/行銷可能做名單與活動；本群聚焦內容智能、實驗、品牌與跨渠道決策。本 App 的獨立邊界是「把機會轉成指標、樣本、停止條件與風險」，主要產出為「提高實驗品質」，不是一般登錄、查詢或看板。</x:v>
      </x:c>
      <x:c r="Q215" s="38" t="n">
        <x:v>4</x:v>
      </x:c>
      <x:c r="R215" s="38" t="n">
        <x:v>2</x:v>
      </x:c>
      <x:c r="S215" s="38" t="str">
        <x:v>P1</x:v>
      </x:c>
      <x:c r="T215" s="38" t="n">
        <x:v>5</x:v>
      </x:c>
      <x:c r="U215" s="39" t="str">
        <x:v>Wave 2 高價值套件</x:v>
      </x:c>
    </x:row>
    <x:row r="216" ht="86" customHeight="1">
      <x:c r="A216" s="36" t="str">
        <x:v>JV-212</x:v>
      </x:c>
      <x:c r="B216" s="37" t="str">
        <x:v>實驗互相干擾偵測器</x:v>
      </x:c>
      <x:c r="C216" s="37" t="str">
        <x:v>行銷／MarTech</x:v>
      </x:c>
      <x:c r="D216" s="37" t="str">
        <x:v>成長實驗</x:v>
      </x:c>
      <x:c r="E216" s="37" t="str">
        <x:v>行銷、品牌、電商、策略</x:v>
      </x:c>
      <x:c r="F216" s="37" t="str">
        <x:v>行銷主管、內容團隊、成長經理、品牌經理</x:v>
      </x:c>
      <x:c r="G216" s="37" t="str">
        <x:v>現行作法對「發現同一受眾同時進入多個衝突實驗」多靠人工彙整、個人經驗或事後處理，難以一致追蹤，造成決策延遲與重工。</x:v>
      </x:c>
      <x:c r="H216" s="37" t="str">
        <x:v>資料／事件接入；發現同一受眾同時進入多個衝突實驗；證據與信心呈現；例外分流與人工覆核；維持結果可信度成效追蹤；完整稽核軌跡</x:v>
      </x:c>
      <x:c r="I216" s="37" t="str">
        <x:v>預測與情境模擬；多目標最佳化；不確定性呈現；專門模型焦點：發現同一受眾同時進入多個衝突實驗</x:v>
      </x:c>
      <x:c r="J216" s="37" t="str">
        <x:v>定期掃描資料與外部訊號，提出優先序與建議；經核准後同步任務與更新來源系統</x:v>
      </x:c>
      <x:c r="K216" s="37" t="str">
        <x:v>L3 可執行／關鍵核准</x:v>
      </x:c>
      <x:c r="L216" s="37" t="str">
        <x:v>內容、活動、廣告、網站、搜尋、社群、競品、客戶行為與品牌規範</x:v>
      </x:c>
      <x:c r="M216" s="37" t="str">
        <x:v>CRM、CDP、CMS、廣告平台、GA、社群聆聽、DAM</x:v>
      </x:c>
      <x:c r="N216" s="37" t="str">
        <x:v>B2B 企業要用有限人力持續產出可信內容、優化投放並掌握市場訊號。Demo：匯入一組去識別資料，觸發「發現同一受眾同時進入多個衝突實驗」，由系統提出證據、建議與下一步；使用者核准後回寫任務，最後呈現「維持結果可信度」前後差異。</x:v>
      </x:c>
      <x:c r="O216" s="37" t="str">
        <x:v>中低</x:v>
      </x:c>
      <x:c r="P216" s="37" t="str">
        <x:v>鄰近既有能力：原有 CRM/行銷可能做名單與活動；本群聚焦內容智能、實驗、品牌與跨渠道決策。本 App 的獨立邊界是「發現同一受眾同時進入多個衝突實驗」，主要產出為「維持結果可信度」，不是一般登錄、查詢或看板。</x:v>
      </x:c>
      <x:c r="Q216" s="38" t="n">
        <x:v>4</x:v>
      </x:c>
      <x:c r="R216" s="38" t="n">
        <x:v>3</x:v>
      </x:c>
      <x:c r="S216" s="38" t="str">
        <x:v>P1</x:v>
      </x:c>
      <x:c r="T216" s="38" t="n">
        <x:v>7</x:v>
      </x:c>
      <x:c r="U216" s="39" t="str">
        <x:v>Wave 2 高價值套件</x:v>
      </x:c>
    </x:row>
    <x:row r="217" ht="86" customHeight="1">
      <x:c r="A217" s="36" t="str">
        <x:v>JV-213</x:v>
      </x:c>
      <x:c r="B217" s="37" t="str">
        <x:v>增量效果判讀助手</x:v>
      </x:c>
      <x:c r="C217" s="37" t="str">
        <x:v>行銷／MarTech</x:v>
      </x:c>
      <x:c r="D217" s="37" t="str">
        <x:v>成長實驗</x:v>
      </x:c>
      <x:c r="E217" s="37" t="str">
        <x:v>行銷、品牌、電商、策略</x:v>
      </x:c>
      <x:c r="F217" s="37" t="str">
        <x:v>行銷主管、內容團隊、成長經理、品牌經理</x:v>
      </x:c>
      <x:c r="G217" s="37" t="str">
        <x:v>現行作法對「區分自然發生與行銷真正帶來的改變」多靠人工彙整、個人經驗或事後處理，難以一致追蹤，造成決策延遲與重工。</x:v>
      </x:c>
      <x:c r="H217" s="37" t="str">
        <x:v>資料／事件接入；區分自然發生與行銷真正帶來的改變；證據與信心呈現；例外分流與人工覆核；避免錯誤歸因成效追蹤；完整稽核軌跡</x:v>
      </x:c>
      <x:c r="I217" s="37" t="str">
        <x:v>跨文件／跨系統比對；圖譜推理；差異與缺口生成；專門模型焦點：區分自然發生與行銷真正帶來的改變</x:v>
      </x:c>
      <x:c r="J217" s="37" t="str">
        <x:v>以人機協作模式先產生草案與證據包，接受修改後執行核准步驟並建立完整稽核軌跡</x:v>
      </x:c>
      <x:c r="K217" s="37" t="str">
        <x:v>L3 可執行／關鍵核准</x:v>
      </x:c>
      <x:c r="L217" s="37" t="str">
        <x:v>內容、活動、廣告、網站、搜尋、社群、競品、客戶行為與品牌規範</x:v>
      </x:c>
      <x:c r="M217" s="37" t="str">
        <x:v>CRM、CDP、CMS、廣告平台、GA、社群聆聽、DAM</x:v>
      </x:c>
      <x:c r="N217" s="37" t="str">
        <x:v>B2B 企業要用有限人力持續產出可信內容、優化投放並掌握市場訊號。Demo：匯入一組去識別資料，觸發「區分自然發生與行銷真正帶來的改變」，由系統提出證據、建議與下一步；使用者核准後回寫任務，最後呈現「避免錯誤歸因」前後差異。</x:v>
      </x:c>
      <x:c r="O217" s="37" t="str">
        <x:v>中低</x:v>
      </x:c>
      <x:c r="P217" s="37" t="str">
        <x:v>鄰近既有能力：原有 CRM/行銷可能做名單與活動；本群聚焦內容智能、實驗、品牌與跨渠道決策。本 App 的獨立邊界是「區分自然發生與行銷真正帶來的改變」，主要產出為「避免錯誤歸因」，不是一般登錄、查詢或看板。</x:v>
      </x:c>
      <x:c r="Q217" s="38" t="n">
        <x:v>3</x:v>
      </x:c>
      <x:c r="R217" s="38" t="n">
        <x:v>3</x:v>
      </x:c>
      <x:c r="S217" s="38" t="str">
        <x:v>P2</x:v>
      </x:c>
      <x:c r="T217" s="38" t="n">
        <x:v>7</x:v>
      </x:c>
      <x:c r="U217" s="39" t="str">
        <x:v>Wave 3 垂直擴充</x:v>
      </x:c>
    </x:row>
    <x:row r="218" ht="86" customHeight="1">
      <x:c r="A218" s="36" t="str">
        <x:v>JV-214</x:v>
      </x:c>
      <x:c r="B218" s="37" t="str">
        <x:v>落地頁訊息匹配器</x:v>
      </x:c>
      <x:c r="C218" s="37" t="str">
        <x:v>行銷／MarTech</x:v>
      </x:c>
      <x:c r="D218" s="37" t="str">
        <x:v>成長實驗</x:v>
      </x:c>
      <x:c r="E218" s="37" t="str">
        <x:v>行銷、品牌、電商、策略</x:v>
      </x:c>
      <x:c r="F218" s="37" t="str">
        <x:v>行銷主管、內容團隊、成長經理、品牌經理</x:v>
      </x:c>
      <x:c r="G218" s="37" t="str">
        <x:v>現行作法對「檢查廣告意圖與頁面內容的一致性」多靠人工彙整、個人經驗或事後處理，難以一致追蹤，造成決策延遲與重工。</x:v>
      </x:c>
      <x:c r="H218" s="37" t="str">
        <x:v>資料／事件接入；檢查廣告意圖與頁面內容的一致性；證據與信心呈現；例外分流與人工覆核；降低跳出成效追蹤；完整稽核軌跡</x:v>
      </x:c>
      <x:c r="I218" s="37" t="str">
        <x:v>異常偵測；因果線索分析；可解釋的建議排序；專門模型焦點：檢查廣告意圖與頁面內容的一致性</x:v>
      </x:c>
      <x:c r="J218" s="37" t="str">
        <x:v>依目標自主規劃步驟、呼叫核准工具、遇到例外改走人工佇列，完成後驗證結果並回報</x:v>
      </x:c>
      <x:c r="K218" s="37" t="str">
        <x:v>L3 可執行／關鍵核准</x:v>
      </x:c>
      <x:c r="L218" s="37" t="str">
        <x:v>內容、活動、廣告、網站、搜尋、社群、競品、客戶行為與品牌規範</x:v>
      </x:c>
      <x:c r="M218" s="37" t="str">
        <x:v>CRM、CDP、CMS、廣告平台、GA、社群聆聽、DAM</x:v>
      </x:c>
      <x:c r="N218" s="37" t="str">
        <x:v>B2B 企業要用有限人力持續產出可信內容、優化投放並掌握市場訊號。Demo：匯入一組去識別資料，觸發「檢查廣告意圖與頁面內容的一致性」，由系統提出證據、建議與下一步；使用者核准後回寫任務，最後呈現「降低跳出」前後差異。</x:v>
      </x:c>
      <x:c r="O218" s="37" t="str">
        <x:v>中</x:v>
      </x:c>
      <x:c r="P218" s="37" t="str">
        <x:v>鄰近既有能力：原有 CRM/行銷可能做名單與活動；本群聚焦內容智能、實驗、品牌與跨渠道決策。本 App 的獨立邊界是「檢查廣告意圖與頁面內容的一致性」，主要產出為「降低跳出」，不是一般登錄、查詢或看板。</x:v>
      </x:c>
      <x:c r="Q218" s="38" t="n">
        <x:v>4</x:v>
      </x:c>
      <x:c r="R218" s="38" t="n">
        <x:v>3</x:v>
      </x:c>
      <x:c r="S218" s="38" t="str">
        <x:v>P1</x:v>
      </x:c>
      <x:c r="T218" s="38" t="n">
        <x:v>7</x:v>
      </x:c>
      <x:c r="U218" s="39" t="str">
        <x:v>Wave 2 高價值套件</x:v>
      </x:c>
    </x:row>
    <x:row r="219" ht="86" customHeight="1">
      <x:c r="A219" s="36" t="str">
        <x:v>JV-215</x:v>
      </x:c>
      <x:c r="B219" s="37" t="str">
        <x:v>成長學習資產庫</x:v>
      </x:c>
      <x:c r="C219" s="37" t="str">
        <x:v>行銷／MarTech</x:v>
      </x:c>
      <x:c r="D219" s="37" t="str">
        <x:v>成長實驗</x:v>
      </x:c>
      <x:c r="E219" s="37" t="str">
        <x:v>行銷、品牌、電商、策略</x:v>
      </x:c>
      <x:c r="F219" s="37" t="str">
        <x:v>行銷主管、內容團隊、成長經理、品牌經理</x:v>
      </x:c>
      <x:c r="G219" s="37" t="str">
        <x:v>現行作法對「保存成功、失敗與不可重現實驗的證據」多靠人工彙整、個人經驗或事後處理，難以一致追蹤，造成決策延遲與重工。</x:v>
      </x:c>
      <x:c r="H219" s="37" t="str">
        <x:v>資料／事件接入；保存成功、失敗與不可重現實驗的證據；證據與信心呈現；例外分流與人工覆核；避免重複試錯成效追蹤；完整稽核軌跡</x:v>
      </x:c>
      <x:c r="I219" s="37" t="str">
        <x:v>RAG 檢索與來源引用；規則＋模型混合判斷；矛盾檢查；專門模型焦點：保存成功、失敗與不可重現實驗的證據</x:v>
      </x:c>
      <x:c r="J219" s="37" t="str">
        <x:v>與多個專業 Agent 協作拆解任務，保留交接證據、逾時升級並在失敗時安全回滾</x:v>
      </x:c>
      <x:c r="K219" s="37" t="str">
        <x:v>L3 可執行／關鍵核准</x:v>
      </x:c>
      <x:c r="L219" s="37" t="str">
        <x:v>內容、活動、廣告、網站、搜尋、社群、競品、客戶行為與品牌規範</x:v>
      </x:c>
      <x:c r="M219" s="37" t="str">
        <x:v>CRM、CDP、CMS、廣告平台、GA、社群聆聽、DAM</x:v>
      </x:c>
      <x:c r="N219" s="37" t="str">
        <x:v>B2B 企業要用有限人力持續產出可信內容、優化投放並掌握市場訊號。Demo：匯入一組去識別資料，觸發「保存成功、失敗與不可重現實驗的證據」，由系統提出證據、建議與下一步；使用者核准後回寫任務，最後呈現「避免重複試錯」前後差異。</x:v>
      </x:c>
      <x:c r="O219" s="37" t="str">
        <x:v>中低</x:v>
      </x:c>
      <x:c r="P219" s="37" t="str">
        <x:v>鄰近既有能力：原有 CRM/行銷可能做名單與活動；本群聚焦內容智能、實驗、品牌與跨渠道決策。本 App 的獨立邊界是「保存成功、失敗與不可重現實驗的證據」，主要產出為「避免重複試錯」，不是一般登錄、查詢或看板。</x:v>
      </x:c>
      <x:c r="Q219" s="38" t="n">
        <x:v>4</x:v>
      </x:c>
      <x:c r="R219" s="38" t="n">
        <x:v>4</x:v>
      </x:c>
      <x:c r="S219" s="38" t="str">
        <x:v>P1</x:v>
      </x:c>
      <x:c r="T219" s="38" t="n">
        <x:v>9</x:v>
      </x:c>
      <x:c r="U219" s="39" t="str">
        <x:v>Wave 2 高價值套件</x:v>
      </x:c>
    </x:row>
    <x:row r="220" ht="86" customHeight="1">
      <x:c r="A220" s="36" t="str">
        <x:v>JV-216</x:v>
      </x:c>
      <x:c r="B220" s="37" t="str">
        <x:v>客戶健康因果模型</x:v>
      </x:c>
      <x:c r="C220" s="37" t="str">
        <x:v>客戶成功／CX</x:v>
      </x:c>
      <x:c r="D220" s="37" t="str">
        <x:v>客戶健康</x:v>
      </x:c>
      <x:c r="E220" s="37" t="str">
        <x:v>客戶成功、客服、產品、業務</x:v>
      </x:c>
      <x:c r="F220" s="37" t="str">
        <x:v>客戶成功主管、CSM、客服主管、產品經理</x:v>
      </x:c>
      <x:c r="G220" s="37" t="str">
        <x:v>現行作法對「融合使用、服務、關係與商務訊號解釋健康變化」多靠人工彙整、個人經驗或事後處理，難以一致追蹤，造成決策延遲與重工。</x:v>
      </x:c>
      <x:c r="H220" s="37" t="str">
        <x:v>資料／事件接入；融合使用、服務、關係與商務訊號解釋健康變化；證據與信心呈現；例外分流與人工覆核；及早介入成效追蹤；完整稽核軌跡</x:v>
      </x:c>
      <x:c r="I220" s="37" t="str">
        <x:v>語意分類與實體抽取；風險／信心評分；具證據的生成與摘要；專門模型焦點：融合使用、服務、關係與商務訊號解釋健康變化</x:v>
      </x:c>
      <x:c r="J220" s="37" t="str">
        <x:v>持續監測事件，達門檻後建立案件、蒐集證據、指派責任並追蹤結案；高風險動作需人工核准</x:v>
      </x:c>
      <x:c r="K220" s="37" t="str">
        <x:v>L3 可執行／關鍵核准</x:v>
      </x:c>
      <x:c r="L220" s="37" t="str">
        <x:v>產品使用、工單、合約、互動、NPS/VOC、付款與健康指標</x:v>
      </x:c>
      <x:c r="M220" s="37" t="str">
        <x:v>CRM、客服平台、產品分析、ERP、訂閱計費、DWH</x:v>
      </x:c>
      <x:c r="N220" s="37" t="str">
        <x:v>訂閱與專案型企業希望在客戶抱怨前發現風險，並證明客戶已取得價值。Demo：匯入一組去識別資料，觸發「融合使用、服務、關係與商務訊號解釋健康變化」，由系統提出證據、建議與下一步；使用者核准後回寫任務，最後呈現「及早介入」前後差異。</x:v>
      </x:c>
      <x:c r="O220" s="37" t="str">
        <x:v>中</x:v>
      </x:c>
      <x:c r="P220" s="37" t="str">
        <x:v>鄰近既有能力：原有 CRM/客服可能記錄案件；本群聚焦主動預測、旅程編排與價值實現。本 App 的獨立邊界是「融合使用、服務、關係與商務訊號解釋健康變化」，主要產出為「及早介入」，不是一般登錄、查詢或看板。</x:v>
      </x:c>
      <x:c r="Q220" s="38" t="n">
        <x:v>4</x:v>
      </x:c>
      <x:c r="R220" s="38" t="n">
        <x:v>2</x:v>
      </x:c>
      <x:c r="S220" s="38" t="str">
        <x:v>P1</x:v>
      </x:c>
      <x:c r="T220" s="38" t="n">
        <x:v>5</x:v>
      </x:c>
      <x:c r="U220" s="39" t="str">
        <x:v>Wave 2 高價值套件</x:v>
      </x:c>
    </x:row>
    <x:row r="221" ht="86" customHeight="1">
      <x:c r="A221" s="36" t="str">
        <x:v>JV-217</x:v>
      </x:c>
      <x:c r="B221" s="37" t="str">
        <x:v>沉默客戶風險雷達</x:v>
      </x:c>
      <x:c r="C221" s="37" t="str">
        <x:v>客戶成功／CX</x:v>
      </x:c>
      <x:c r="D221" s="37" t="str">
        <x:v>客戶健康</x:v>
      </x:c>
      <x:c r="E221" s="37" t="str">
        <x:v>客戶成功、客服、產品、業務</x:v>
      </x:c>
      <x:c r="F221" s="37" t="str">
        <x:v>客戶成功主管、CSM、客服主管、產品經理</x:v>
      </x:c>
      <x:c r="G221" s="37" t="str">
        <x:v>現行作法對「辨識互動下降但尚未開案的流失訊號」多靠人工彙整、個人經驗或事後處理，難以一致追蹤，造成決策延遲與重工。</x:v>
      </x:c>
      <x:c r="H221" s="37" t="str">
        <x:v>資料／事件接入；辨識互動下降但尚未開案的流失訊號；證據與信心呈現；例外分流與人工覆核；找回無聲風險成效追蹤；完整稽核軌跡</x:v>
      </x:c>
      <x:c r="I221" s="37" t="str">
        <x:v>預測與情境模擬；多目標最佳化；不確定性呈現；專門模型焦點：辨識互動下降但尚未開案的流失訊號</x:v>
      </x:c>
      <x:c r="J221" s="37" t="str">
        <x:v>定期掃描資料與外部訊號，提出優先序與建議；經核准後同步任務與更新來源系統</x:v>
      </x:c>
      <x:c r="K221" s="37" t="str">
        <x:v>L3 可執行／關鍵核准</x:v>
      </x:c>
      <x:c r="L221" s="37" t="str">
        <x:v>產品使用、工單、合約、互動、NPS/VOC、付款與健康指標</x:v>
      </x:c>
      <x:c r="M221" s="37" t="str">
        <x:v>CRM、客服平台、產品分析、ERP、訂閱計費、DWH</x:v>
      </x:c>
      <x:c r="N221" s="37" t="str">
        <x:v>訂閱與專案型企業希望在客戶抱怨前發現風險，並證明客戶已取得價值。Demo：匯入一組去識別資料，觸發「辨識互動下降但尚未開案的流失訊號」，由系統提出證據、建議與下一步；使用者核准後回寫任務，最後呈現「找回無聲風險」前後差異。</x:v>
      </x:c>
      <x:c r="O221" s="37" t="str">
        <x:v>中低</x:v>
      </x:c>
      <x:c r="P221" s="37" t="str">
        <x:v>鄰近既有能力：原有 CRM/客服可能記錄案件；本群聚焦主動預測、旅程編排與價值實現。本 App 的獨立邊界是「辨識互動下降但尚未開案的流失訊號」，主要產出為「找回無聲風險」，不是一般登錄、查詢或看板。</x:v>
      </x:c>
      <x:c r="Q221" s="38" t="n">
        <x:v>4</x:v>
      </x:c>
      <x:c r="R221" s="38" t="n">
        <x:v>3</x:v>
      </x:c>
      <x:c r="S221" s="38" t="str">
        <x:v>P1</x:v>
      </x:c>
      <x:c r="T221" s="38" t="n">
        <x:v>7</x:v>
      </x:c>
      <x:c r="U221" s="39" t="str">
        <x:v>Wave 2 高價值套件</x:v>
      </x:c>
    </x:row>
    <x:row r="222" ht="86" customHeight="1">
      <x:c r="A222" s="36" t="str">
        <x:v>JV-218</x:v>
      </x:c>
      <x:c r="B222" s="37" t="str">
        <x:v>客戶風險證據摘要器</x:v>
      </x:c>
      <x:c r="C222" s="37" t="str">
        <x:v>客戶成功／CX</x:v>
      </x:c>
      <x:c r="D222" s="37" t="str">
        <x:v>客戶健康</x:v>
      </x:c>
      <x:c r="E222" s="37" t="str">
        <x:v>客戶成功、客服、產品、業務</x:v>
      </x:c>
      <x:c r="F222" s="37" t="str">
        <x:v>客戶成功主管、CSM、客服主管、產品經理</x:v>
      </x:c>
      <x:c r="G222" s="37" t="str">
        <x:v>現行作法對「將分散訊號整理為可採取行動的風險故事」多靠人工彙整、個人經驗或事後處理，難以一致追蹤，造成決策延遲與重工。</x:v>
      </x:c>
      <x:c r="H222" s="37" t="str">
        <x:v>資料／事件接入；將分散訊號整理為可採取行動的風險故事；證據與信心呈現；例外分流與人工覆核；縮短 CSM 判讀成效追蹤；完整稽核軌跡</x:v>
      </x:c>
      <x:c r="I222" s="37" t="str">
        <x:v>跨文件／跨系統比對；圖譜推理；差異與缺口生成；專門模型焦點：將分散訊號整理為可採取行動的風險故事</x:v>
      </x:c>
      <x:c r="J222" s="37" t="str">
        <x:v>以人機協作模式先產生草案與證據包，接受修改後執行核准步驟並建立完整稽核軌跡</x:v>
      </x:c>
      <x:c r="K222" s="37" t="str">
        <x:v>L3 可執行／關鍵核准</x:v>
      </x:c>
      <x:c r="L222" s="37" t="str">
        <x:v>產品使用、工單、合約、互動、NPS/VOC、付款與健康指標</x:v>
      </x:c>
      <x:c r="M222" s="37" t="str">
        <x:v>CRM、客服平台、產品分析、ERP、訂閱計費、DWH</x:v>
      </x:c>
      <x:c r="N222" s="37" t="str">
        <x:v>訂閱與專案型企業希望在客戶抱怨前發現風險，並證明客戶已取得價值。Demo：匯入一組去識別資料，觸發「將分散訊號整理為可採取行動的風險故事」，由系統提出證據、建議與下一步；使用者核准後回寫任務，最後呈現「縮短 CSM 判讀」前後差異。</x:v>
      </x:c>
      <x:c r="O222" s="37" t="str">
        <x:v>中低</x:v>
      </x:c>
      <x:c r="P222" s="37" t="str">
        <x:v>鄰近既有能力：原有 CRM/客服可能記錄案件；本群聚焦主動預測、旅程編排與價值實現。本 App 的獨立邊界是「將分散訊號整理為可採取行動的風險故事」，主要產出為「縮短 CSM 判讀」，不是一般登錄、查詢或看板。</x:v>
      </x:c>
      <x:c r="Q222" s="38" t="n">
        <x:v>4</x:v>
      </x:c>
      <x:c r="R222" s="38" t="n">
        <x:v>3</x:v>
      </x:c>
      <x:c r="S222" s="38" t="str">
        <x:v>P1</x:v>
      </x:c>
      <x:c r="T222" s="38" t="n">
        <x:v>7</x:v>
      </x:c>
      <x:c r="U222" s="39" t="str">
        <x:v>Wave 2 高價值套件</x:v>
      </x:c>
    </x:row>
    <x:row r="223" ht="86" customHeight="1">
      <x:c r="A223" s="36" t="str">
        <x:v>JV-219</x:v>
      </x:c>
      <x:c r="B223" s="37" t="str">
        <x:v>健康分數漂移監測器</x:v>
      </x:c>
      <x:c r="C223" s="37" t="str">
        <x:v>客戶成功／CX</x:v>
      </x:c>
      <x:c r="D223" s="37" t="str">
        <x:v>客戶健康</x:v>
      </x:c>
      <x:c r="E223" s="37" t="str">
        <x:v>客戶成功、客服、產品、業務</x:v>
      </x:c>
      <x:c r="F223" s="37" t="str">
        <x:v>客戶成功主管、CSM、客服主管、產品經理</x:v>
      </x:c>
      <x:c r="G223" s="37" t="str">
        <x:v>現行作法對「檢查模型是否因產品或客群變化失準」多靠人工彙整、個人經驗或事後處理，難以一致追蹤，造成決策延遲與重工。</x:v>
      </x:c>
      <x:c r="H223" s="37" t="str">
        <x:v>資料／事件接入；檢查模型是否因產品或客群變化失準；證據與信心呈現；例外分流與人工覆核；維持預警品質成效追蹤；完整稽核軌跡</x:v>
      </x:c>
      <x:c r="I223" s="37" t="str">
        <x:v>異常偵測；因果線索分析；可解釋的建議排序；專門模型焦點：檢查模型是否因產品或客群變化失準</x:v>
      </x:c>
      <x:c r="J223" s="37" t="str">
        <x:v>依目標自主規劃步驟、呼叫核准工具、遇到例外改走人工佇列，完成後驗證結果並回報</x:v>
      </x:c>
      <x:c r="K223" s="37" t="str">
        <x:v>L3 可執行／關鍵核准</x:v>
      </x:c>
      <x:c r="L223" s="37" t="str">
        <x:v>產品使用、工單、合約、互動、NPS/VOC、付款與健康指標</x:v>
      </x:c>
      <x:c r="M223" s="37" t="str">
        <x:v>CRM、客服平台、產品分析、ERP、訂閱計費、DWH</x:v>
      </x:c>
      <x:c r="N223" s="37" t="str">
        <x:v>訂閱與專案型企業希望在客戶抱怨前發現風險，並證明客戶已取得價值。Demo：匯入一組去識別資料，觸發「檢查模型是否因產品或客群變化失準」，由系統提出證據、建議與下一步；使用者核准後回寫任務，最後呈現「維持預警品質」前後差異。</x:v>
      </x:c>
      <x:c r="O223" s="37" t="str">
        <x:v>中</x:v>
      </x:c>
      <x:c r="P223" s="37" t="str">
        <x:v>鄰近既有能力：原有 CRM/客服可能記錄案件；本群聚焦主動預測、旅程編排與價值實現。本 App 的獨立邊界是「檢查模型是否因產品或客群變化失準」，主要產出為「維持預警品質」，不是一般登錄、查詢或看板。</x:v>
      </x:c>
      <x:c r="Q223" s="38" t="n">
        <x:v>3</x:v>
      </x:c>
      <x:c r="R223" s="38" t="n">
        <x:v>3</x:v>
      </x:c>
      <x:c r="S223" s="38" t="str">
        <x:v>P2</x:v>
      </x:c>
      <x:c r="T223" s="38" t="n">
        <x:v>7</x:v>
      </x:c>
      <x:c r="U223" s="39" t="str">
        <x:v>Wave 3 垂直擴充</x:v>
      </x:c>
    </x:row>
    <x:row r="224" ht="86" customHeight="1">
      <x:c r="A224" s="36" t="str">
        <x:v>JV-220</x:v>
      </x:c>
      <x:c r="B224" s="37" t="str">
        <x:v>客戶組合風險熱圖</x:v>
      </x:c>
      <x:c r="C224" s="37" t="str">
        <x:v>客戶成功／CX</x:v>
      </x:c>
      <x:c r="D224" s="37" t="str">
        <x:v>客戶健康</x:v>
      </x:c>
      <x:c r="E224" s="37" t="str">
        <x:v>客戶成功、客服、產品、業務</x:v>
      </x:c>
      <x:c r="F224" s="37" t="str">
        <x:v>客戶成功主管、CSM、客服主管、產品經理</x:v>
      </x:c>
      <x:c r="G224" s="37" t="str">
        <x:v>現行作法對「按產業、方案、地區與 CSM 呈現集中風險」多靠人工彙整、個人經驗或事後處理，難以一致追蹤，造成決策延遲與重工。</x:v>
      </x:c>
      <x:c r="H224" s="37" t="str">
        <x:v>資料／事件接入；按產業、方案、地區與 CSM 呈現集中風險；證據與信心呈現；例外分流與人工覆核；支援資源配置成效追蹤；完整稽核軌跡</x:v>
      </x:c>
      <x:c r="I224" s="37" t="str">
        <x:v>RAG 檢索與來源引用；規則＋模型混合判斷；矛盾檢查；專門模型焦點：按產業、方案、地區與 CSM 呈現集中風險</x:v>
      </x:c>
      <x:c r="J224" s="37" t="str">
        <x:v>與多個專業 Agent 協作拆解任務，保留交接證據、逾時升級並在失敗時安全回滾</x:v>
      </x:c>
      <x:c r="K224" s="37" t="str">
        <x:v>L3 可執行／關鍵核准</x:v>
      </x:c>
      <x:c r="L224" s="37" t="str">
        <x:v>產品使用、工單、合約、互動、NPS/VOC、付款與健康指標</x:v>
      </x:c>
      <x:c r="M224" s="37" t="str">
        <x:v>CRM、客服平台、產品分析、ERP、訂閱計費、DWH</x:v>
      </x:c>
      <x:c r="N224" s="37" t="str">
        <x:v>訂閱與專案型企業希望在客戶抱怨前發現風險，並證明客戶已取得價值。Demo：匯入一組去識別資料，觸發「按產業、方案、地區與 CSM 呈現集中風險」，由系統提出證據、建議與下一步；使用者核准後回寫任務，最後呈現「支援資源配置」前後差異。</x:v>
      </x:c>
      <x:c r="O224" s="37" t="str">
        <x:v>中低</x:v>
      </x:c>
      <x:c r="P224" s="37" t="str">
        <x:v>鄰近既有能力：原有 CRM/客服可能記錄案件；本群聚焦主動預測、旅程編排與價值實現。本 App 的獨立邊界是「按產業、方案、地區與 CSM 呈現集中風險」，主要產出為「支援資源配置」，不是一般登錄、查詢或看板。</x:v>
      </x:c>
      <x:c r="Q224" s="38" t="n">
        <x:v>4</x:v>
      </x:c>
      <x:c r="R224" s="38" t="n">
        <x:v>4</x:v>
      </x:c>
      <x:c r="S224" s="38" t="str">
        <x:v>P1</x:v>
      </x:c>
      <x:c r="T224" s="38" t="n">
        <x:v>9</x:v>
      </x:c>
      <x:c r="U224" s="39" t="str">
        <x:v>Wave 2 高價值套件</x:v>
      </x:c>
    </x:row>
    <x:row r="225" ht="86" customHeight="1">
      <x:c r="A225" s="36" t="str">
        <x:v>JV-221</x:v>
      </x:c>
      <x:c r="B225" s="37" t="str">
        <x:v>客戶 Onboarding 路徑編排器</x:v>
      </x:c>
      <x:c r="C225" s="37" t="str">
        <x:v>客戶成功／CX</x:v>
      </x:c>
      <x:c r="D225" s="37" t="str">
        <x:v>Onboarding 與採用</x:v>
      </x:c>
      <x:c r="E225" s="37" t="str">
        <x:v>客戶成功、客服、產品、業務</x:v>
      </x:c>
      <x:c r="F225" s="37" t="str">
        <x:v>客戶成功主管、CSM、客服主管、產品經理</x:v>
      </x:c>
      <x:c r="G225" s="37" t="str">
        <x:v>現行作法對「依情境、角色與成熟度安排里程碑」多靠人工彙整、個人經驗或事後處理，難以一致追蹤，造成決策延遲與重工。</x:v>
      </x:c>
      <x:c r="H225" s="37" t="str">
        <x:v>資料／事件接入；依情境、角色與成熟度安排里程碑；證據與信心呈現；例外分流與人工覆核；縮短首次價值時間成效追蹤；完整稽核軌跡</x:v>
      </x:c>
      <x:c r="I225" s="37" t="str">
        <x:v>語意分類與實體抽取；風險／信心評分；具證據的生成與摘要；專門模型焦點：依情境、角色與成熟度安排里程碑</x:v>
      </x:c>
      <x:c r="J225" s="37" t="str">
        <x:v>持續監測事件，達門檻後建立案件、蒐集證據、指派責任並追蹤結案；高風險動作需人工核准</x:v>
      </x:c>
      <x:c r="K225" s="37" t="str">
        <x:v>L3 可執行／關鍵核准</x:v>
      </x:c>
      <x:c r="L225" s="37" t="str">
        <x:v>產品使用、工單、合約、互動、NPS/VOC、付款與健康指標</x:v>
      </x:c>
      <x:c r="M225" s="37" t="str">
        <x:v>CRM、客服平台、產品分析、ERP、訂閱計費、DWH</x:v>
      </x:c>
      <x:c r="N225" s="37" t="str">
        <x:v>訂閱與專案型企業希望在客戶抱怨前發現風險，並證明客戶已取得價值。Demo：匯入一組去識別資料，觸發「依情境、角色與成熟度安排里程碑」，由系統提出證據、建議與下一步；使用者核准後回寫任務，最後呈現「縮短首次價值時間」前後差異。</x:v>
      </x:c>
      <x:c r="O225" s="37" t="str">
        <x:v>中</x:v>
      </x:c>
      <x:c r="P225" s="37" t="str">
        <x:v>鄰近既有能力：原有 CRM/客服可能記錄案件；本群聚焦主動預測、旅程編排與價值實現。本 App 的獨立邊界是「依情境、角色與成熟度安排里程碑」，主要產出為「縮短首次價值時間」，不是一般登錄、查詢或看板。</x:v>
      </x:c>
      <x:c r="Q225" s="38" t="n">
        <x:v>4</x:v>
      </x:c>
      <x:c r="R225" s="38" t="n">
        <x:v>2</x:v>
      </x:c>
      <x:c r="S225" s="38" t="str">
        <x:v>P1</x:v>
      </x:c>
      <x:c r="T225" s="38" t="n">
        <x:v>5</x:v>
      </x:c>
      <x:c r="U225" s="39" t="str">
        <x:v>Wave 2 高價值套件</x:v>
      </x:c>
    </x:row>
    <x:row r="226" ht="86" customHeight="1">
      <x:c r="A226" s="36" t="str">
        <x:v>JV-222</x:v>
      </x:c>
      <x:c r="B226" s="37" t="str">
        <x:v>功能採用障礙診斷器</x:v>
      </x:c>
      <x:c r="C226" s="37" t="str">
        <x:v>客戶成功／CX</x:v>
      </x:c>
      <x:c r="D226" s="37" t="str">
        <x:v>Onboarding 與採用</x:v>
      </x:c>
      <x:c r="E226" s="37" t="str">
        <x:v>客戶成功、客服、產品、業務</x:v>
      </x:c>
      <x:c r="F226" s="37" t="str">
        <x:v>客戶成功主管、CSM、客服主管、產品經理</x:v>
      </x:c>
      <x:c r="G226" s="37" t="str">
        <x:v>現行作法對「從行為與工單找出未採用原因」多靠人工彙整、個人經驗或事後處理，難以一致追蹤，造成決策延遲與重工。</x:v>
      </x:c>
      <x:c r="H226" s="37" t="str">
        <x:v>資料／事件接入；從行為與工單找出未採用原因；證據與信心呈現；例外分流與人工覆核；提出精準介入成效追蹤；完整稽核軌跡</x:v>
      </x:c>
      <x:c r="I226" s="37" t="str">
        <x:v>預測與情境模擬；多目標最佳化；不確定性呈現；專門模型焦點：從行為與工單找出未採用原因</x:v>
      </x:c>
      <x:c r="J226" s="37" t="str">
        <x:v>定期掃描資料與外部訊號，提出優先序與建議；經核准後同步任務與更新來源系統</x:v>
      </x:c>
      <x:c r="K226" s="37" t="str">
        <x:v>L3 可執行／關鍵核准</x:v>
      </x:c>
      <x:c r="L226" s="37" t="str">
        <x:v>產品使用、工單、合約、互動、NPS/VOC、付款與健康指標</x:v>
      </x:c>
      <x:c r="M226" s="37" t="str">
        <x:v>CRM、客服平台、產品分析、ERP、訂閱計費、DWH</x:v>
      </x:c>
      <x:c r="N226" s="37" t="str">
        <x:v>訂閱與專案型企業希望在客戶抱怨前發現風險，並證明客戶已取得價值。Demo：匯入一組去識別資料，觸發「從行為與工單找出未採用原因」，由系統提出證據、建議與下一步；使用者核准後回寫任務，最後呈現「提出精準介入」前後差異。</x:v>
      </x:c>
      <x:c r="O226" s="37" t="str">
        <x:v>中低</x:v>
      </x:c>
      <x:c r="P226" s="37" t="str">
        <x:v>鄰近既有能力：原有 CRM/客服可能記錄案件；本群聚焦主動預測、旅程編排與價值實現。本 App 的獨立邊界是「從行為與工單找出未採用原因」，主要產出為「提出精準介入」，不是一般登錄、查詢或看板。</x:v>
      </x:c>
      <x:c r="Q226" s="38" t="n">
        <x:v>4</x:v>
      </x:c>
      <x:c r="R226" s="38" t="n">
        <x:v>3</x:v>
      </x:c>
      <x:c r="S226" s="38" t="str">
        <x:v>P1</x:v>
      </x:c>
      <x:c r="T226" s="38" t="n">
        <x:v>7</x:v>
      </x:c>
      <x:c r="U226" s="39" t="str">
        <x:v>Wave 2 高價值套件</x:v>
      </x:c>
    </x:row>
    <x:row r="227" ht="86" customHeight="1">
      <x:c r="A227" s="36" t="str">
        <x:v>JV-223</x:v>
      </x:c>
      <x:c r="B227" s="37" t="str">
        <x:v>客戶管理者啟用助手</x:v>
      </x:c>
      <x:c r="C227" s="37" t="str">
        <x:v>客戶成功／CX</x:v>
      </x:c>
      <x:c r="D227" s="37" t="str">
        <x:v>Onboarding 與採用</x:v>
      </x:c>
      <x:c r="E227" s="37" t="str">
        <x:v>客戶成功、客服、產品、業務</x:v>
      </x:c>
      <x:c r="F227" s="37" t="str">
        <x:v>客戶成功主管、CSM、客服主管、產品經理</x:v>
      </x:c>
      <x:c r="G227" s="37" t="str">
        <x:v>現行作法對「協助客戶內部管理員完成權限、設定與推廣」多靠人工彙整、個人經驗或事後處理，難以一致追蹤，造成決策延遲與重工。</x:v>
      </x:c>
      <x:c r="H227" s="37" t="str">
        <x:v>資料／事件接入；協助客戶內部管理員完成權限、設定與推廣；證據與信心呈現；例外分流與人工覆核；提高自助能力成效追蹤；完整稽核軌跡</x:v>
      </x:c>
      <x:c r="I227" s="37" t="str">
        <x:v>跨文件／跨系統比對；圖譜推理；差異與缺口生成；專門模型焦點：協助客戶內部管理員完成權限、設定與推廣</x:v>
      </x:c>
      <x:c r="J227" s="37" t="str">
        <x:v>以人機協作模式先產生草案與證據包，接受修改後執行核准步驟並建立完整稽核軌跡</x:v>
      </x:c>
      <x:c r="K227" s="37" t="str">
        <x:v>L3 可執行／關鍵核准</x:v>
      </x:c>
      <x:c r="L227" s="37" t="str">
        <x:v>產品使用、工單、合約、互動、NPS/VOC、付款與健康指標</x:v>
      </x:c>
      <x:c r="M227" s="37" t="str">
        <x:v>CRM、客服平台、產品分析、ERP、訂閱計費、DWH</x:v>
      </x:c>
      <x:c r="N227" s="37" t="str">
        <x:v>訂閱與專案型企業希望在客戶抱怨前發現風險，並證明客戶已取得價值。Demo：匯入一組去識別資料，觸發「協助客戶內部管理員完成權限、設定與推廣」，由系統提出證據、建議與下一步；使用者核准後回寫任務，最後呈現「提高自助能力」前後差異。</x:v>
      </x:c>
      <x:c r="O227" s="37" t="str">
        <x:v>中低</x:v>
      </x:c>
      <x:c r="P227" s="37" t="str">
        <x:v>鄰近既有能力：原有 CRM/客服可能記錄案件；本群聚焦主動預測、旅程編排與價值實現。本 App 的獨立邊界是「協助客戶內部管理員完成權限、設定與推廣」，主要產出為「提高自助能力」，不是一般登錄、查詢或看板。</x:v>
      </x:c>
      <x:c r="Q227" s="38" t="n">
        <x:v>4</x:v>
      </x:c>
      <x:c r="R227" s="38" t="n">
        <x:v>3</x:v>
      </x:c>
      <x:c r="S227" s="38" t="str">
        <x:v>P1</x:v>
      </x:c>
      <x:c r="T227" s="38" t="n">
        <x:v>7</x:v>
      </x:c>
      <x:c r="U227" s="39" t="str">
        <x:v>Wave 2 高價值套件</x:v>
      </x:c>
    </x:row>
    <x:row r="228" ht="86" customHeight="1">
      <x:c r="A228" s="36" t="str">
        <x:v>JV-224</x:v>
      </x:c>
      <x:c r="B228" s="37" t="str">
        <x:v>新功能採用目標器</x:v>
      </x:c>
      <x:c r="C228" s="37" t="str">
        <x:v>客戶成功／CX</x:v>
      </x:c>
      <x:c r="D228" s="37" t="str">
        <x:v>Onboarding 與採用</x:v>
      </x:c>
      <x:c r="E228" s="37" t="str">
        <x:v>客戶成功、客服、產品、業務</x:v>
      </x:c>
      <x:c r="F228" s="37" t="str">
        <x:v>客戶成功主管、CSM、客服主管、產品經理</x:v>
      </x:c>
      <x:c r="G228" s="37" t="str">
        <x:v>現行作法對「辨識最適合先導的客戶與使用者」多靠人工彙整、個人經驗或事後處理，難以一致追蹤，造成決策延遲與重工。</x:v>
      </x:c>
      <x:c r="H228" s="37" t="str">
        <x:v>資料／事件接入；辨識最適合先導的客戶與使用者；證據與信心呈現；例外分流與人工覆核；提高發布採用率成效追蹤；完整稽核軌跡</x:v>
      </x:c>
      <x:c r="I228" s="37" t="str">
        <x:v>異常偵測；因果線索分析；可解釋的建議排序；專門模型焦點：辨識最適合先導的客戶與使用者</x:v>
      </x:c>
      <x:c r="J228" s="37" t="str">
        <x:v>依目標自主規劃步驟、呼叫核准工具、遇到例外改走人工佇列，完成後驗證結果並回報</x:v>
      </x:c>
      <x:c r="K228" s="37" t="str">
        <x:v>L3 可執行／關鍵核准</x:v>
      </x:c>
      <x:c r="L228" s="37" t="str">
        <x:v>產品使用、工單、合約、互動、NPS/VOC、付款與健康指標</x:v>
      </x:c>
      <x:c r="M228" s="37" t="str">
        <x:v>CRM、客服平台、產品分析、ERP、訂閱計費、DWH</x:v>
      </x:c>
      <x:c r="N228" s="37" t="str">
        <x:v>訂閱與專案型企業希望在客戶抱怨前發現風險，並證明客戶已取得價值。Demo：匯入一組去識別資料，觸發「辨識最適合先導的客戶與使用者」，由系統提出證據、建議與下一步；使用者核准後回寫任務，最後呈現「提高發布採用率」前後差異。</x:v>
      </x:c>
      <x:c r="O228" s="37" t="str">
        <x:v>中</x:v>
      </x:c>
      <x:c r="P228" s="37" t="str">
        <x:v>鄰近既有能力：原有 CRM/客服可能記錄案件；本群聚焦主動預測、旅程編排與價值實現。本 App 的獨立邊界是「辨識最適合先導的客戶與使用者」，主要產出為「提高發布採用率」，不是一般登錄、查詢或看板。</x:v>
      </x:c>
      <x:c r="Q228" s="38" t="n">
        <x:v>4</x:v>
      </x:c>
      <x:c r="R228" s="38" t="n">
        <x:v>3</x:v>
      </x:c>
      <x:c r="S228" s="38" t="str">
        <x:v>P1</x:v>
      </x:c>
      <x:c r="T228" s="38" t="n">
        <x:v>7</x:v>
      </x:c>
      <x:c r="U228" s="39" t="str">
        <x:v>Wave 2 高價值套件</x:v>
      </x:c>
    </x:row>
    <x:row r="229" ht="86" customHeight="1">
      <x:c r="A229" s="36" t="str">
        <x:v>JV-225</x:v>
      </x:c>
      <x:c r="B229" s="37" t="str">
        <x:v>採用里程碑證據包</x:v>
      </x:c>
      <x:c r="C229" s="37" t="str">
        <x:v>客戶成功／CX</x:v>
      </x:c>
      <x:c r="D229" s="37" t="str">
        <x:v>Onboarding 與採用</x:v>
      </x:c>
      <x:c r="E229" s="37" t="str">
        <x:v>客戶成功、客服、產品、業務</x:v>
      </x:c>
      <x:c r="F229" s="37" t="str">
        <x:v>客戶成功主管、CSM、客服主管、產品經理</x:v>
      </x:c>
      <x:c r="G229" s="37" t="str">
        <x:v>現行作法對「自動彙整完成紀錄、使用結果與待辦」多靠人工彙整、個人經驗或事後處理，難以一致追蹤，造成決策延遲與重工。</x:v>
      </x:c>
      <x:c r="H229" s="37" t="str">
        <x:v>資料／事件接入；自動彙整完成紀錄、使用結果與待辦；證據與信心呈現；例外分流與人工覆核；讓雙方看見進度成效追蹤；完整稽核軌跡</x:v>
      </x:c>
      <x:c r="I229" s="37" t="str">
        <x:v>RAG 檢索與來源引用；規則＋模型混合判斷；矛盾檢查；專門模型焦點：自動彙整完成紀錄、使用結果與待辦</x:v>
      </x:c>
      <x:c r="J229" s="37" t="str">
        <x:v>與多個專業 Agent 協作拆解任務，保留交接證據、逾時升級並在失敗時安全回滾</x:v>
      </x:c>
      <x:c r="K229" s="37" t="str">
        <x:v>L3 可執行／關鍵核准</x:v>
      </x:c>
      <x:c r="L229" s="37" t="str">
        <x:v>產品使用、工單、合約、互動、NPS/VOC、付款與健康指標</x:v>
      </x:c>
      <x:c r="M229" s="37" t="str">
        <x:v>CRM、客服平台、產品分析、ERP、訂閱計費、DWH</x:v>
      </x:c>
      <x:c r="N229" s="37" t="str">
        <x:v>訂閱與專案型企業希望在客戶抱怨前發現風險，並證明客戶已取得價值。Demo：匯入一組去識別資料，觸發「自動彙整完成紀錄、使用結果與待辦」，由系統提出證據、建議與下一步；使用者核准後回寫任務，最後呈現「讓雙方看見進度」前後差異。</x:v>
      </x:c>
      <x:c r="O229" s="37" t="str">
        <x:v>中低</x:v>
      </x:c>
      <x:c r="P229" s="37" t="str">
        <x:v>鄰近既有能力：原有 CRM/客服可能記錄案件；本群聚焦主動預測、旅程編排與價值實現。本 App 的獨立邊界是「自動彙整完成紀錄、使用結果與待辦」，主要產出為「讓雙方看見進度」，不是一般登錄、查詢或看板。</x:v>
      </x:c>
      <x:c r="Q229" s="38" t="n">
        <x:v>3</x:v>
      </x:c>
      <x:c r="R229" s="38" t="n">
        <x:v>4</x:v>
      </x:c>
      <x:c r="S229" s="38" t="str">
        <x:v>P2</x:v>
      </x:c>
      <x:c r="T229" s="38" t="n">
        <x:v>9</x:v>
      </x:c>
      <x:c r="U229" s="39" t="str">
        <x:v>Wave 3 垂直擴充</x:v>
      </x:c>
    </x:row>
    <x:row r="230" ht="86" customHeight="1">
      <x:c r="A230" s="36" t="str">
        <x:v>JV-226</x:v>
      </x:c>
      <x:c r="B230" s="37" t="str">
        <x:v>續約風險分解器</x:v>
      </x:c>
      <x:c r="C230" s="37" t="str">
        <x:v>客戶成功／CX</x:v>
      </x:c>
      <x:c r="D230" s="37" t="str">
        <x:v>續約與擴張</x:v>
      </x:c>
      <x:c r="E230" s="37" t="str">
        <x:v>客戶成功、客服、產品、業務</x:v>
      </x:c>
      <x:c r="F230" s="37" t="str">
        <x:v>客戶成功主管、CSM、客服主管、產品經理</x:v>
      </x:c>
      <x:c r="G230" s="37" t="str">
        <x:v>現行作法對「拆解價格、價值、產品、服務與關係風險」多靠人工彙整、個人經驗或事後處理，難以一致追蹤，造成決策延遲與重工。</x:v>
      </x:c>
      <x:c r="H230" s="37" t="str">
        <x:v>資料／事件接入；拆解價格、價值、產品、服務與關係風險；證據與信心呈現；例外分流與人工覆核；制定對應保留策略成效追蹤；完整稽核軌跡</x:v>
      </x:c>
      <x:c r="I230" s="37" t="str">
        <x:v>語意分類與實體抽取；風險／信心評分；具證據的生成與摘要；專門模型焦點：拆解價格、價值、產品、服務與關係風險</x:v>
      </x:c>
      <x:c r="J230" s="37" t="str">
        <x:v>持續監測事件，達門檻後建立案件、蒐集證據、指派責任並追蹤結案；高風險動作需人工核准</x:v>
      </x:c>
      <x:c r="K230" s="37" t="str">
        <x:v>L3 可執行／關鍵核准</x:v>
      </x:c>
      <x:c r="L230" s="37" t="str">
        <x:v>產品使用、工單、合約、互動、NPS/VOC、付款與健康指標</x:v>
      </x:c>
      <x:c r="M230" s="37" t="str">
        <x:v>CRM、客服平台、產品分析、ERP、訂閱計費、DWH</x:v>
      </x:c>
      <x:c r="N230" s="37" t="str">
        <x:v>訂閱與專案型企業希望在客戶抱怨前發現風險，並證明客戶已取得價值。Demo：匯入一組去識別資料，觸發「拆解價格、價值、產品、服務與關係風險」，由系統提出證據、建議與下一步；使用者核准後回寫任務，最後呈現「制定對應保留策略」前後差異。</x:v>
      </x:c>
      <x:c r="O230" s="37" t="str">
        <x:v>中</x:v>
      </x:c>
      <x:c r="P230" s="37" t="str">
        <x:v>鄰近既有能力：原有 CRM/客服可能記錄案件；本群聚焦主動預測、旅程編排與價值實現。本 App 的獨立邊界是「拆解價格、價值、產品、服務與關係風險」，主要產出為「制定對應保留策略」，不是一般登錄、查詢或看板。</x:v>
      </x:c>
      <x:c r="Q230" s="38" t="n">
        <x:v>4</x:v>
      </x:c>
      <x:c r="R230" s="38" t="n">
        <x:v>2</x:v>
      </x:c>
      <x:c r="S230" s="38" t="str">
        <x:v>P1</x:v>
      </x:c>
      <x:c r="T230" s="38" t="n">
        <x:v>5</x:v>
      </x:c>
      <x:c r="U230" s="39" t="str">
        <x:v>Wave 2 高價值套件</x:v>
      </x:c>
    </x:row>
    <x:row r="231" ht="86" customHeight="1">
      <x:c r="A231" s="36" t="str">
        <x:v>JV-227</x:v>
      </x:c>
      <x:c r="B231" s="37" t="str">
        <x:v>擴張機會觸發器</x:v>
      </x:c>
      <x:c r="C231" s="37" t="str">
        <x:v>客戶成功／CX</x:v>
      </x:c>
      <x:c r="D231" s="37" t="str">
        <x:v>續約與擴張</x:v>
      </x:c>
      <x:c r="E231" s="37" t="str">
        <x:v>客戶成功、客服、產品、業務</x:v>
      </x:c>
      <x:c r="F231" s="37" t="str">
        <x:v>客戶成功主管、CSM、客服主管、產品經理</x:v>
      </x:c>
      <x:c r="G231" s="37" t="str">
        <x:v>現行作法對「從容量、使用深度與新團隊訊號找升級機會」多靠人工彙整、個人經驗或事後處理，難以一致追蹤，造成決策延遲與重工。</x:v>
      </x:c>
      <x:c r="H231" s="37" t="str">
        <x:v>資料／事件接入；從容量、使用深度與新團隊訊號找升級機會；證據與信心呈現；例外分流與人工覆核；提升淨留存成效追蹤；完整稽核軌跡</x:v>
      </x:c>
      <x:c r="I231" s="37" t="str">
        <x:v>預測與情境模擬；多目標最佳化；不確定性呈現；專門模型焦點：從容量、使用深度與新團隊訊號找升級機會</x:v>
      </x:c>
      <x:c r="J231" s="37" t="str">
        <x:v>定期掃描資料與外部訊號，提出優先序與建議；經核准後同步任務與更新來源系統</x:v>
      </x:c>
      <x:c r="K231" s="37" t="str">
        <x:v>L3 可執行／關鍵核准</x:v>
      </x:c>
      <x:c r="L231" s="37" t="str">
        <x:v>產品使用、工單、合約、互動、NPS/VOC、付款與健康指標</x:v>
      </x:c>
      <x:c r="M231" s="37" t="str">
        <x:v>CRM、客服平台、產品分析、ERP、訂閱計費、DWH</x:v>
      </x:c>
      <x:c r="N231" s="37" t="str">
        <x:v>訂閱與專案型企業希望在客戶抱怨前發現風險，並證明客戶已取得價值。Demo：匯入一組去識別資料，觸發「從容量、使用深度與新團隊訊號找升級機會」，由系統提出證據、建議與下一步；使用者核准後回寫任務，最後呈現「提升淨留存」前後差異。</x:v>
      </x:c>
      <x:c r="O231" s="37" t="str">
        <x:v>中低</x:v>
      </x:c>
      <x:c r="P231" s="37" t="str">
        <x:v>鄰近既有能力：原有 CRM/客服可能記錄案件；本群聚焦主動預測、旅程編排與價值實現。本 App 的獨立邊界是「從容量、使用深度與新團隊訊號找升級機會」，主要產出為「提升淨留存」，不是一般登錄、查詢或看板。</x:v>
      </x:c>
      <x:c r="Q231" s="38" t="n">
        <x:v>4</x:v>
      </x:c>
      <x:c r="R231" s="38" t="n">
        <x:v>3</x:v>
      </x:c>
      <x:c r="S231" s="38" t="str">
        <x:v>P1</x:v>
      </x:c>
      <x:c r="T231" s="38" t="n">
        <x:v>7</x:v>
      </x:c>
      <x:c r="U231" s="39" t="str">
        <x:v>Wave 2 高價值套件</x:v>
      </x:c>
    </x:row>
    <x:row r="232" ht="86" customHeight="1">
      <x:c r="A232" s="36" t="str">
        <x:v>JV-228</x:v>
      </x:c>
      <x:c r="B232" s="37" t="str">
        <x:v>續約談判情境模擬器</x:v>
      </x:c>
      <x:c r="C232" s="37" t="str">
        <x:v>客戶成功／CX</x:v>
      </x:c>
      <x:c r="D232" s="37" t="str">
        <x:v>續約與擴張</x:v>
      </x:c>
      <x:c r="E232" s="37" t="str">
        <x:v>客戶成功、客服、產品、業務</x:v>
      </x:c>
      <x:c r="F232" s="37" t="str">
        <x:v>客戶成功主管、CSM、客服主管、產品經理</x:v>
      </x:c>
      <x:c r="G232" s="37" t="str">
        <x:v>現行作法對「模擬折扣、期限、範圍與流失機率」多靠人工彙整、個人經驗或事後處理，難以一致追蹤，造成決策延遲與重工。</x:v>
      </x:c>
      <x:c r="H232" s="37" t="str">
        <x:v>資料／事件接入；模擬折扣、期限、範圍與流失機率；證據與信心呈現；例外分流與人工覆核；支援底線決策成效追蹤；完整稽核軌跡</x:v>
      </x:c>
      <x:c r="I232" s="37" t="str">
        <x:v>跨文件／跨系統比對；圖譜推理；差異與缺口生成；專門模型焦點：模擬折扣、期限、範圍與流失機率</x:v>
      </x:c>
      <x:c r="J232" s="37" t="str">
        <x:v>以人機協作模式先產生草案與證據包，接受修改後執行核准步驟並建立完整稽核軌跡</x:v>
      </x:c>
      <x:c r="K232" s="37" t="str">
        <x:v>L3 可執行／關鍵核准</x:v>
      </x:c>
      <x:c r="L232" s="37" t="str">
        <x:v>產品使用、工單、合約、互動、NPS/VOC、付款與健康指標</x:v>
      </x:c>
      <x:c r="M232" s="37" t="str">
        <x:v>CRM、客服平台、產品分析、ERP、訂閱計費、DWH</x:v>
      </x:c>
      <x:c r="N232" s="37" t="str">
        <x:v>訂閱與專案型企業希望在客戶抱怨前發現風險，並證明客戶已取得價值。Demo：匯入一組去識別資料，觸發「模擬折扣、期限、範圍與流失機率」，由系統提出證據、建議與下一步；使用者核准後回寫任務，最後呈現「支援底線決策」前後差異。</x:v>
      </x:c>
      <x:c r="O232" s="37" t="str">
        <x:v>中低</x:v>
      </x:c>
      <x:c r="P232" s="37" t="str">
        <x:v>鄰近既有能力：原有 CRM/客服可能記錄案件；本群聚焦主動預測、旅程編排與價值實現。本 App 的獨立邊界是「模擬折扣、期限、範圍與流失機率」，主要產出為「支援底線決策」，不是一般登錄、查詢或看板。</x:v>
      </x:c>
      <x:c r="Q232" s="38" t="n">
        <x:v>4</x:v>
      </x:c>
      <x:c r="R232" s="38" t="n">
        <x:v>3</x:v>
      </x:c>
      <x:c r="S232" s="38" t="str">
        <x:v>P1</x:v>
      </x:c>
      <x:c r="T232" s="38" t="n">
        <x:v>7</x:v>
      </x:c>
      <x:c r="U232" s="39" t="str">
        <x:v>Wave 2 高價值套件</x:v>
      </x:c>
    </x:row>
    <x:row r="233" ht="86" customHeight="1">
      <x:c r="A233" s="36" t="str">
        <x:v>JV-229</x:v>
      </x:c>
      <x:c r="B233" s="37" t="str">
        <x:v>客戶價值回顧產生器</x:v>
      </x:c>
      <x:c r="C233" s="37" t="str">
        <x:v>客戶成功／CX</x:v>
      </x:c>
      <x:c r="D233" s="37" t="str">
        <x:v>續約與擴張</x:v>
      </x:c>
      <x:c r="E233" s="37" t="str">
        <x:v>客戶成功、客服、產品、業務</x:v>
      </x:c>
      <x:c r="F233" s="37" t="str">
        <x:v>客戶成功主管、CSM、客服主管、產品經理</x:v>
      </x:c>
      <x:c r="G233" s="37" t="str">
        <x:v>現行作法對「把成果、節省、採用與下階段建議做成 QBR」多靠人工彙整、個人經驗或事後處理，難以一致追蹤，造成決策延遲與重工。</x:v>
      </x:c>
      <x:c r="H233" s="37" t="str">
        <x:v>資料／事件接入；把成果、節省、採用與下階段建議做成 QBR；證據與信心呈現；例外分流與人工覆核；證明續約價值成效追蹤；完整稽核軌跡</x:v>
      </x:c>
      <x:c r="I233" s="37" t="str">
        <x:v>異常偵測；因果線索分析；可解釋的建議排序；專門模型焦點：把成果、節省、採用與下階段建議做成 QBR</x:v>
      </x:c>
      <x:c r="J233" s="37" t="str">
        <x:v>依目標自主規劃步驟、呼叫核准工具、遇到例外改走人工佇列，完成後驗證結果並回報</x:v>
      </x:c>
      <x:c r="K233" s="37" t="str">
        <x:v>L3 可執行／關鍵核准</x:v>
      </x:c>
      <x:c r="L233" s="37" t="str">
        <x:v>產品使用、工單、合約、互動、NPS/VOC、付款與健康指標</x:v>
      </x:c>
      <x:c r="M233" s="37" t="str">
        <x:v>CRM、客服平台、產品分析、ERP、訂閱計費、DWH</x:v>
      </x:c>
      <x:c r="N233" s="37" t="str">
        <x:v>訂閱與專案型企業希望在客戶抱怨前發現風險，並證明客戶已取得價值。Demo：匯入一組去識別資料，觸發「把成果、節省、採用與下階段建議做成 QBR」，由系統提出證據、建議與下一步；使用者核准後回寫任務，最後呈現「證明續約價值」前後差異。</x:v>
      </x:c>
      <x:c r="O233" s="37" t="str">
        <x:v>中</x:v>
      </x:c>
      <x:c r="P233" s="37" t="str">
        <x:v>鄰近既有能力：原有 CRM/客服可能記錄案件；本群聚焦主動預測、旅程編排與價值實現。本 App 的獨立邊界是「把成果、節省、採用與下階段建議做成 QBR」，主要產出為「證明續約價值」，不是一般登錄、查詢或看板。</x:v>
      </x:c>
      <x:c r="Q233" s="38" t="n">
        <x:v>4</x:v>
      </x:c>
      <x:c r="R233" s="38" t="n">
        <x:v>3</x:v>
      </x:c>
      <x:c r="S233" s="38" t="str">
        <x:v>P1</x:v>
      </x:c>
      <x:c r="T233" s="38" t="n">
        <x:v>7</x:v>
      </x:c>
      <x:c r="U233" s="39" t="str">
        <x:v>Wave 2 高價值套件</x:v>
      </x:c>
    </x:row>
    <x:row r="234" ht="86" customHeight="1">
      <x:c r="A234" s="36" t="str">
        <x:v>JV-230</x:v>
      </x:c>
      <x:c r="B234" s="37" t="str">
        <x:v>未實現價值追蹤器</x:v>
      </x:c>
      <x:c r="C234" s="37" t="str">
        <x:v>客戶成功／CX</x:v>
      </x:c>
      <x:c r="D234" s="37" t="str">
        <x:v>續約與擴張</x:v>
      </x:c>
      <x:c r="E234" s="37" t="str">
        <x:v>客戶成功、客服、產品、業務</x:v>
      </x:c>
      <x:c r="F234" s="37" t="str">
        <x:v>客戶成功主管、CSM、客服主管、產品經理</x:v>
      </x:c>
      <x:c r="G234" s="37" t="str">
        <x:v>現行作法對「找出已購未用能力與受阻原因」多靠人工彙整、個人經驗或事後處理，難以一致追蹤，造成決策延遲與重工。</x:v>
      </x:c>
      <x:c r="H234" s="37" t="str">
        <x:v>資料／事件接入；找出已購未用能力與受阻原因；證據與信心呈現；例外分流與人工覆核；降低 shelfware成效追蹤；完整稽核軌跡</x:v>
      </x:c>
      <x:c r="I234" s="37" t="str">
        <x:v>RAG 檢索與來源引用；規則＋模型混合判斷；矛盾檢查；專門模型焦點：找出已購未用能力與受阻原因</x:v>
      </x:c>
      <x:c r="J234" s="37" t="str">
        <x:v>與多個專業 Agent 協作拆解任務，保留交接證據、逾時升級並在失敗時安全回滾</x:v>
      </x:c>
      <x:c r="K234" s="37" t="str">
        <x:v>L3 可執行／關鍵核准</x:v>
      </x:c>
      <x:c r="L234" s="37" t="str">
        <x:v>產品使用、工單、合約、互動、NPS/VOC、付款與健康指標</x:v>
      </x:c>
      <x:c r="M234" s="37" t="str">
        <x:v>CRM、客服平台、產品分析、ERP、訂閱計費、DWH</x:v>
      </x:c>
      <x:c r="N234" s="37" t="str">
        <x:v>訂閱與專案型企業希望在客戶抱怨前發現風險，並證明客戶已取得價值。Demo：匯入一組去識別資料，觸發「找出已購未用能力與受阻原因」，由系統提出證據、建議與下一步；使用者核准後回寫任務，最後呈現「降低 shelfware」前後差異。</x:v>
      </x:c>
      <x:c r="O234" s="37" t="str">
        <x:v>中低</x:v>
      </x:c>
      <x:c r="P234" s="37" t="str">
        <x:v>鄰近既有能力：原有 CRM/客服可能記錄案件；本群聚焦主動預測、旅程編排與價值實現。本 App 的獨立邊界是「找出已購未用能力與受阻原因」，主要產出為「降低 shelfware」，不是一般登錄、查詢或看板。</x:v>
      </x:c>
      <x:c r="Q234" s="38" t="n">
        <x:v>4</x:v>
      </x:c>
      <x:c r="R234" s="38" t="n">
        <x:v>4</x:v>
      </x:c>
      <x:c r="S234" s="38" t="str">
        <x:v>P1</x:v>
      </x:c>
      <x:c r="T234" s="38" t="n">
        <x:v>9</x:v>
      </x:c>
      <x:c r="U234" s="39" t="str">
        <x:v>Wave 2 高價值套件</x:v>
      </x:c>
    </x:row>
    <x:row r="235" ht="86" customHeight="1">
      <x:c r="A235" s="36" t="str">
        <x:v>JV-231</x:v>
      </x:c>
      <x:c r="B235" s="37" t="str">
        <x:v>跨渠道 VOC 主題雷達</x:v>
      </x:c>
      <x:c r="C235" s="37" t="str">
        <x:v>客戶成功／CX</x:v>
      </x:c>
      <x:c r="D235" s="37" t="str">
        <x:v>VOC 與旅程</x:v>
      </x:c>
      <x:c r="E235" s="37" t="str">
        <x:v>客戶成功、客服、產品、業務</x:v>
      </x:c>
      <x:c r="F235" s="37" t="str">
        <x:v>客戶成功主管、CSM、客服主管、產品經理</x:v>
      </x:c>
      <x:c r="G235" s="37" t="str">
        <x:v>現行作法對「統一工單、訪談、社群與問卷主題」多靠人工彙整、個人經驗或事後處理，難以一致追蹤，造成決策延遲與重工。</x:v>
      </x:c>
      <x:c r="H235" s="37" t="str">
        <x:v>資料／事件接入；統一工單、訪談、社群與問卷主題；證據與信心呈現；例外分流與人工覆核；掌握真實聲音成效追蹤；完整稽核軌跡</x:v>
      </x:c>
      <x:c r="I235" s="37" t="str">
        <x:v>語意分類與實體抽取；風險／信心評分；具證據的生成與摘要；專門模型焦點：統一工單、訪談、社群與問卷主題</x:v>
      </x:c>
      <x:c r="J235" s="37" t="str">
        <x:v>持續監測事件，達門檻後建立案件、蒐集證據、指派責任並追蹤結案；高風險動作需人工核准</x:v>
      </x:c>
      <x:c r="K235" s="37" t="str">
        <x:v>L3 可執行／關鍵核准</x:v>
      </x:c>
      <x:c r="L235" s="37" t="str">
        <x:v>產品使用、工單、合約、互動、NPS/VOC、付款與健康指標</x:v>
      </x:c>
      <x:c r="M235" s="37" t="str">
        <x:v>CRM、客服平台、產品分析、ERP、訂閱計費、DWH</x:v>
      </x:c>
      <x:c r="N235" s="37" t="str">
        <x:v>訂閱與專案型企業希望在客戶抱怨前發現風險，並證明客戶已取得價值。Demo：匯入一組去識別資料，觸發「統一工單、訪談、社群與問卷主題」，由系統提出證據、建議與下一步；使用者核准後回寫任務，最後呈現「掌握真實聲音」前後差異。</x:v>
      </x:c>
      <x:c r="O235" s="37" t="str">
        <x:v>中</x:v>
      </x:c>
      <x:c r="P235" s="37" t="str">
        <x:v>鄰近既有能力：原有 CRM/客服可能記錄案件；本群聚焦主動預測、旅程編排與價值實現。本 App 的獨立邊界是「統一工單、訪談、社群與問卷主題」，主要產出為「掌握真實聲音」，不是一般登錄、查詢或看板。</x:v>
      </x:c>
      <x:c r="Q235" s="38" t="n">
        <x:v>4</x:v>
      </x:c>
      <x:c r="R235" s="38" t="n">
        <x:v>2</x:v>
      </x:c>
      <x:c r="S235" s="38" t="str">
        <x:v>P1</x:v>
      </x:c>
      <x:c r="T235" s="38" t="n">
        <x:v>5</x:v>
      </x:c>
      <x:c r="U235" s="39" t="str">
        <x:v>Wave 2 高價值套件</x:v>
      </x:c>
    </x:row>
    <x:row r="236" ht="86" customHeight="1">
      <x:c r="A236" s="36" t="str">
        <x:v>JV-232</x:v>
      </x:c>
      <x:c r="B236" s="37" t="str">
        <x:v>客戶旅程斷點偵測器</x:v>
      </x:c>
      <x:c r="C236" s="37" t="str">
        <x:v>客戶成功／CX</x:v>
      </x:c>
      <x:c r="D236" s="37" t="str">
        <x:v>VOC 與旅程</x:v>
      </x:c>
      <x:c r="E236" s="37" t="str">
        <x:v>客戶成功、客服、產品、業務</x:v>
      </x:c>
      <x:c r="F236" s="37" t="str">
        <x:v>客戶成功主管、CSM、客服主管、產品經理</x:v>
      </x:c>
      <x:c r="G236" s="37" t="str">
        <x:v>現行作法對「辨識跨部門交接、等待與重複說明問題」多靠人工彙整、個人經驗或事後處理，難以一致追蹤，造成決策延遲與重工。</x:v>
      </x:c>
      <x:c r="H236" s="37" t="str">
        <x:v>資料／事件接入；辨識跨部門交接、等待與重複說明問題；證據與信心呈現；例外分流與人工覆核；改善體驗成效追蹤；完整稽核軌跡</x:v>
      </x:c>
      <x:c r="I236" s="37" t="str">
        <x:v>預測與情境模擬；多目標最佳化；不確定性呈現；專門模型焦點：辨識跨部門交接、等待與重複說明問題</x:v>
      </x:c>
      <x:c r="J236" s="37" t="str">
        <x:v>定期掃描資料與外部訊號，提出優先序與建議；經核准後同步任務與更新來源系統</x:v>
      </x:c>
      <x:c r="K236" s="37" t="str">
        <x:v>L3 可執行／關鍵核准</x:v>
      </x:c>
      <x:c r="L236" s="37" t="str">
        <x:v>產品使用、工單、合約、互動、NPS/VOC、付款與健康指標</x:v>
      </x:c>
      <x:c r="M236" s="37" t="str">
        <x:v>CRM、客服平台、產品分析、ERP、訂閱計費、DWH</x:v>
      </x:c>
      <x:c r="N236" s="37" t="str">
        <x:v>訂閱與專案型企業希望在客戶抱怨前發現風險，並證明客戶已取得價值。Demo：匯入一組去識別資料，觸發「辨識跨部門交接、等待與重複說明問題」，由系統提出證據、建議與下一步；使用者核准後回寫任務，最後呈現「改善體驗」前後差異。</x:v>
      </x:c>
      <x:c r="O236" s="37" t="str">
        <x:v>中低</x:v>
      </x:c>
      <x:c r="P236" s="37" t="str">
        <x:v>鄰近既有能力：原有 CRM/客服可能記錄案件；本群聚焦主動預測、旅程編排與價值實現。本 App 的獨立邊界是「辨識跨部門交接、等待與重複說明問題」，主要產出為「改善體驗」，不是一般登錄、查詢或看板。</x:v>
      </x:c>
      <x:c r="Q236" s="38" t="n">
        <x:v>4</x:v>
      </x:c>
      <x:c r="R236" s="38" t="n">
        <x:v>3</x:v>
      </x:c>
      <x:c r="S236" s="38" t="str">
        <x:v>P1</x:v>
      </x:c>
      <x:c r="T236" s="38" t="n">
        <x:v>7</x:v>
      </x:c>
      <x:c r="U236" s="39" t="str">
        <x:v>Wave 2 高價值套件</x:v>
      </x:c>
    </x:row>
    <x:row r="237" ht="86" customHeight="1">
      <x:c r="A237" s="36" t="str">
        <x:v>JV-233</x:v>
      </x:c>
      <x:c r="B237" s="37" t="str">
        <x:v>關鍵時刻情緒預警器</x:v>
      </x:c>
      <x:c r="C237" s="37" t="str">
        <x:v>客戶成功／CX</x:v>
      </x:c>
      <x:c r="D237" s="37" t="str">
        <x:v>VOC 與旅程</x:v>
      </x:c>
      <x:c r="E237" s="37" t="str">
        <x:v>客戶成功、客服、產品、業務</x:v>
      </x:c>
      <x:c r="F237" s="37" t="str">
        <x:v>客戶成功主管、CSM、客服主管、產品經理</x:v>
      </x:c>
      <x:c r="G237" s="37" t="str">
        <x:v>現行作法對「在上線、事故、續約等時點辨識情緒變化」多靠人工彙整、個人經驗或事後處理，難以一致追蹤，造成決策延遲與重工。</x:v>
      </x:c>
      <x:c r="H237" s="37" t="str">
        <x:v>資料／事件接入；在上線、事故、續約等時點辨識情緒變化；證據與信心呈現；例外分流與人工覆核；及時升級成效追蹤；完整稽核軌跡</x:v>
      </x:c>
      <x:c r="I237" s="37" t="str">
        <x:v>跨文件／跨系統比對；圖譜推理；差異與缺口生成；專門模型焦點：在上線、事故、續約等時點辨識情緒變化</x:v>
      </x:c>
      <x:c r="J237" s="37" t="str">
        <x:v>以人機協作模式先產生草案與證據包，接受修改後執行核准步驟並建立完整稽核軌跡</x:v>
      </x:c>
      <x:c r="K237" s="37" t="str">
        <x:v>L3 可執行／關鍵核准</x:v>
      </x:c>
      <x:c r="L237" s="37" t="str">
        <x:v>產品使用、工單、合約、互動、NPS/VOC、付款與健康指標</x:v>
      </x:c>
      <x:c r="M237" s="37" t="str">
        <x:v>CRM、客服平台、產品分析、ERP、訂閱計費、DWH</x:v>
      </x:c>
      <x:c r="N237" s="37" t="str">
        <x:v>訂閱與專案型企業希望在客戶抱怨前發現風險，並證明客戶已取得價值。Demo：匯入一組去識別資料，觸發「在上線、事故、續約等時點辨識情緒變化」，由系統提出證據、建議與下一步；使用者核准後回寫任務，最後呈現「及時升級」前後差異。</x:v>
      </x:c>
      <x:c r="O237" s="37" t="str">
        <x:v>中低</x:v>
      </x:c>
      <x:c r="P237" s="37" t="str">
        <x:v>鄰近既有能力：原有 CRM/客服可能記錄案件；本群聚焦主動預測、旅程編排與價值實現。本 App 的獨立邊界是「在上線、事故、續約等時點辨識情緒變化」，主要產出為「及時升級」，不是一般登錄、查詢或看板。</x:v>
      </x:c>
      <x:c r="Q237" s="38" t="n">
        <x:v>4</x:v>
      </x:c>
      <x:c r="R237" s="38" t="n">
        <x:v>3</x:v>
      </x:c>
      <x:c r="S237" s="38" t="str">
        <x:v>P1</x:v>
      </x:c>
      <x:c r="T237" s="38" t="n">
        <x:v>7</x:v>
      </x:c>
      <x:c r="U237" s="39" t="str">
        <x:v>Wave 2 高價值套件</x:v>
      </x:c>
    </x:row>
    <x:row r="238" ht="86" customHeight="1">
      <x:c r="A238" s="36" t="str">
        <x:v>JV-234</x:v>
      </x:c>
      <x:c r="B238" s="37" t="str">
        <x:v>VOC 到產品決策橋接器</x:v>
      </x:c>
      <x:c r="C238" s="37" t="str">
        <x:v>客戶成功／CX</x:v>
      </x:c>
      <x:c r="D238" s="37" t="str">
        <x:v>VOC 與旅程</x:v>
      </x:c>
      <x:c r="E238" s="37" t="str">
        <x:v>客戶成功、客服、產品、業務</x:v>
      </x:c>
      <x:c r="F238" s="37" t="str">
        <x:v>客戶成功主管、CSM、客服主管、產品經理</x:v>
      </x:c>
      <x:c r="G238" s="37" t="str">
        <x:v>現行作法對「把聲音連結到客群、營收與產品主題」多靠人工彙整、個人經驗或事後處理，難以一致追蹤，造成決策延遲與重工。</x:v>
      </x:c>
      <x:c r="H238" s="37" t="str">
        <x:v>資料／事件接入；把聲音連結到客群、營收與產品主題；證據與信心呈現；例外分流與人工覆核；改善需求排序成效追蹤；完整稽核軌跡</x:v>
      </x:c>
      <x:c r="I238" s="37" t="str">
        <x:v>異常偵測；因果線索分析；可解釋的建議排序；專門模型焦點：把聲音連結到客群、營收與產品主題</x:v>
      </x:c>
      <x:c r="J238" s="37" t="str">
        <x:v>依目標自主規劃步驟、呼叫核准工具、遇到例外改走人工佇列，完成後驗證結果並回報</x:v>
      </x:c>
      <x:c r="K238" s="37" t="str">
        <x:v>L3 可執行／關鍵核准</x:v>
      </x:c>
      <x:c r="L238" s="37" t="str">
        <x:v>產品使用、工單、合約、互動、NPS/VOC、付款與健康指標</x:v>
      </x:c>
      <x:c r="M238" s="37" t="str">
        <x:v>CRM、客服平台、產品分析、ERP、訂閱計費、DWH</x:v>
      </x:c>
      <x:c r="N238" s="37" t="str">
        <x:v>訂閱與專案型企業希望在客戶抱怨前發現風險，並證明客戶已取得價值。Demo：匯入一組去識別資料，觸發「把聲音連結到客群、營收與產品主題」，由系統提出證據、建議與下一步；使用者核准後回寫任務，最後呈現「改善需求排序」前後差異。</x:v>
      </x:c>
      <x:c r="O238" s="37" t="str">
        <x:v>中</x:v>
      </x:c>
      <x:c r="P238" s="37" t="str">
        <x:v>鄰近既有能力：原有 CRM/客服可能記錄案件；本群聚焦主動預測、旅程編排與價值實現。本 App 的獨立邊界是「把聲音連結到客群、營收與產品主題」，主要產出為「改善需求排序」，不是一般登錄、查詢或看板。</x:v>
      </x:c>
      <x:c r="Q238" s="38" t="n">
        <x:v>4</x:v>
      </x:c>
      <x:c r="R238" s="38" t="n">
        <x:v>3</x:v>
      </x:c>
      <x:c r="S238" s="38" t="str">
        <x:v>P1</x:v>
      </x:c>
      <x:c r="T238" s="38" t="n">
        <x:v>7</x:v>
      </x:c>
      <x:c r="U238" s="39" t="str">
        <x:v>Wave 2 高價值套件</x:v>
      </x:c>
    </x:row>
    <x:row r="239" ht="86" customHeight="1">
      <x:c r="A239" s="36" t="str">
        <x:v>JV-235</x:v>
      </x:c>
      <x:c r="B239" s="37" t="str">
        <x:v>閉環回覆追蹤 Agent</x:v>
      </x:c>
      <x:c r="C239" s="37" t="str">
        <x:v>客戶成功／CX</x:v>
      </x:c>
      <x:c r="D239" s="37" t="str">
        <x:v>VOC 與旅程</x:v>
      </x:c>
      <x:c r="E239" s="37" t="str">
        <x:v>客戶成功、客服、產品、業務</x:v>
      </x:c>
      <x:c r="F239" s="37" t="str">
        <x:v>客戶成功主管、CSM、客服主管、產品經理</x:v>
      </x:c>
      <x:c r="G239" s="37" t="str">
        <x:v>現行作法對「改善完成後通知受影響客戶並確認效果」多靠人工彙整、個人經驗或事後處理，難以一致追蹤，造成決策延遲與重工。</x:v>
      </x:c>
      <x:c r="H239" s="37" t="str">
        <x:v>資料／事件接入；改善完成後通知受影響客戶並確認效果；證據與信心呈現；例外分流與人工覆核；完成 VOC 閉環成效追蹤；完整稽核軌跡</x:v>
      </x:c>
      <x:c r="I239" s="37" t="str">
        <x:v>RAG 檢索與來源引用；規則＋模型混合判斷；矛盾檢查；專門模型焦點：改善完成後通知受影響客戶並確認效果</x:v>
      </x:c>
      <x:c r="J239" s="37" t="str">
        <x:v>與多個專業 Agent 協作拆解任務，保留交接證據、逾時升級並在失敗時安全回滾</x:v>
      </x:c>
      <x:c r="K239" s="37" t="str">
        <x:v>L3 可執行／關鍵核准</x:v>
      </x:c>
      <x:c r="L239" s="37" t="str">
        <x:v>產品使用、工單、合約、互動、NPS/VOC、付款與健康指標</x:v>
      </x:c>
      <x:c r="M239" s="37" t="str">
        <x:v>CRM、客服平台、產品分析、ERP、訂閱計費、DWH</x:v>
      </x:c>
      <x:c r="N239" s="37" t="str">
        <x:v>訂閱與專案型企業希望在客戶抱怨前發現風險，並證明客戶已取得價值。Demo：匯入一組去識別資料，觸發「改善完成後通知受影響客戶並確認效果」，由系統提出證據、建議與下一步；使用者核准後回寫任務，最後呈現「完成 VOC 閉環」前後差異。</x:v>
      </x:c>
      <x:c r="O239" s="37" t="str">
        <x:v>中低</x:v>
      </x:c>
      <x:c r="P239" s="37" t="str">
        <x:v>鄰近既有能力：原有 CRM/客服可能記錄案件；本群聚焦主動預測、旅程編排與價值實現。本 App 的獨立邊界是「改善完成後通知受影響客戶並確認效果」，主要產出為「完成 VOC 閉環」，不是一般登錄、查詢或看板。</x:v>
      </x:c>
      <x:c r="Q239" s="38" t="n">
        <x:v>4</x:v>
      </x:c>
      <x:c r="R239" s="38" t="n">
        <x:v>4</x:v>
      </x:c>
      <x:c r="S239" s="38" t="str">
        <x:v>P1</x:v>
      </x:c>
      <x:c r="T239" s="38" t="n">
        <x:v>9</x:v>
      </x:c>
      <x:c r="U239" s="39" t="str">
        <x:v>Wave 2 高價值套件</x:v>
      </x:c>
    </x:row>
    <x:row r="240" ht="86" customHeight="1">
      <x:c r="A240" s="36" t="str">
        <x:v>JV-236</x:v>
      </x:c>
      <x:c r="B240" s="37" t="str">
        <x:v>重大客戶事件室</x:v>
      </x:c>
      <x:c r="C240" s="37" t="str">
        <x:v>客戶成功／CX</x:v>
      </x:c>
      <x:c r="D240" s="37" t="str">
        <x:v>服務協同</x:v>
      </x:c>
      <x:c r="E240" s="37" t="str">
        <x:v>客戶成功、客服、產品、業務</x:v>
      </x:c>
      <x:c r="F240" s="37" t="str">
        <x:v>客戶成功主管、CSM、客服主管、產品經理</x:v>
      </x:c>
      <x:c r="G240" s="37" t="str">
        <x:v>現行作法對「跨工單、工程、業務與主管建立單一事件視圖」多靠人工彙整、個人經驗或事後處理，難以一致追蹤，造成決策延遲與重工。</x:v>
      </x:c>
      <x:c r="H240" s="37" t="str">
        <x:v>資料／事件接入；跨工單、工程、業務與主管建立單一事件視圖；證據與信心呈現；例外分流與人工覆核；一致對客溝通成效追蹤；完整稽核軌跡</x:v>
      </x:c>
      <x:c r="I240" s="37" t="str">
        <x:v>語意分類與實體抽取；風險／信心評分；具證據的生成與摘要；專門模型焦點：跨工單、工程、業務與主管建立單一事件視圖</x:v>
      </x:c>
      <x:c r="J240" s="37" t="str">
        <x:v>持續監測事件，達門檻後建立案件、蒐集證據、指派責任並追蹤結案；高風險動作需人工核准</x:v>
      </x:c>
      <x:c r="K240" s="37" t="str">
        <x:v>L3 可執行／關鍵核准</x:v>
      </x:c>
      <x:c r="L240" s="37" t="str">
        <x:v>產品使用、工單、合約、互動、NPS/VOC、付款與健康指標</x:v>
      </x:c>
      <x:c r="M240" s="37" t="str">
        <x:v>CRM、客服平台、產品分析、ERP、訂閱計費、DWH</x:v>
      </x:c>
      <x:c r="N240" s="37" t="str">
        <x:v>訂閱與專案型企業希望在客戶抱怨前發現風險，並證明客戶已取得價值。Demo：匯入一組去識別資料，觸發「跨工單、工程、業務與主管建立單一事件視圖」，由系統提出證據、建議與下一步；使用者核准後回寫任務，最後呈現「一致對客溝通」前後差異。</x:v>
      </x:c>
      <x:c r="O240" s="37" t="str">
        <x:v>中</x:v>
      </x:c>
      <x:c r="P240" s="37" t="str">
        <x:v>鄰近既有能力：原有 CRM/客服可能記錄案件；本群聚焦主動預測、旅程編排與價值實現。本 App 的獨立邊界是「跨工單、工程、業務與主管建立單一事件視圖」，主要產出為「一致對客溝通」，不是一般登錄、查詢或看板。</x:v>
      </x:c>
      <x:c r="Q240" s="38" t="n">
        <x:v>3</x:v>
      </x:c>
      <x:c r="R240" s="38" t="n">
        <x:v>2</x:v>
      </x:c>
      <x:c r="S240" s="38" t="str">
        <x:v>P2</x:v>
      </x:c>
      <x:c r="T240" s="38" t="n">
        <x:v>5</x:v>
      </x:c>
      <x:c r="U240" s="39" t="str">
        <x:v>Wave 3 垂直擴充</x:v>
      </x:c>
    </x:row>
    <x:row r="241" ht="86" customHeight="1">
      <x:c r="A241" s="36" t="str">
        <x:v>JV-237</x:v>
      </x:c>
      <x:c r="B241" s="37" t="str">
        <x:v>客戶承諾台帳 Agent</x:v>
      </x:c>
      <x:c r="C241" s="37" t="str">
        <x:v>客戶成功／CX</x:v>
      </x:c>
      <x:c r="D241" s="37" t="str">
        <x:v>服務協同</x:v>
      </x:c>
      <x:c r="E241" s="37" t="str">
        <x:v>客戶成功、客服、產品、業務</x:v>
      </x:c>
      <x:c r="F241" s="37" t="str">
        <x:v>客戶成功主管、CSM、客服主管、產品經理</x:v>
      </x:c>
      <x:c r="G241" s="37" t="str">
        <x:v>現行作法對「從郵件與會議擷取承諾並追蹤到完成」多靠人工彙整、個人經驗或事後處理，難以一致追蹤，造成決策延遲與重工。</x:v>
      </x:c>
      <x:c r="H241" s="37" t="str">
        <x:v>資料／事件接入；從郵件與會議擷取承諾並追蹤到完成；證據與信心呈現；例外分流與人工覆核；避免失信成效追蹤；完整稽核軌跡</x:v>
      </x:c>
      <x:c r="I241" s="37" t="str">
        <x:v>預測與情境模擬；多目標最佳化；不確定性呈現；專門模型焦點：從郵件與會議擷取承諾並追蹤到完成</x:v>
      </x:c>
      <x:c r="J241" s="37" t="str">
        <x:v>定期掃描資料與外部訊號，提出優先序與建議；經核准後同步任務與更新來源系統</x:v>
      </x:c>
      <x:c r="K241" s="37" t="str">
        <x:v>L3 可執行／關鍵核准</x:v>
      </x:c>
      <x:c r="L241" s="37" t="str">
        <x:v>產品使用、工單、合約、互動、NPS/VOC、付款與健康指標</x:v>
      </x:c>
      <x:c r="M241" s="37" t="str">
        <x:v>CRM、客服平台、產品分析、ERP、訂閱計費、DWH</x:v>
      </x:c>
      <x:c r="N241" s="37" t="str">
        <x:v>訂閱與專案型企業希望在客戶抱怨前發現風險，並證明客戶已取得價值。Demo：匯入一組去識別資料，觸發「從郵件與會議擷取承諾並追蹤到完成」，由系統提出證據、建議與下一步；使用者核准後回寫任務，最後呈現「避免失信」前後差異。</x:v>
      </x:c>
      <x:c r="O241" s="37" t="str">
        <x:v>中低</x:v>
      </x:c>
      <x:c r="P241" s="37" t="str">
        <x:v>鄰近既有能力：原有 CRM/客服可能記錄案件；本群聚焦主動預測、旅程編排與價值實現。本 App 的獨立邊界是「從郵件與會議擷取承諾並追蹤到完成」，主要產出為「避免失信」，不是一般登錄、查詢或看板。</x:v>
      </x:c>
      <x:c r="Q241" s="38" t="n">
        <x:v>4</x:v>
      </x:c>
      <x:c r="R241" s="38" t="n">
        <x:v>3</x:v>
      </x:c>
      <x:c r="S241" s="38" t="str">
        <x:v>P1</x:v>
      </x:c>
      <x:c r="T241" s="38" t="n">
        <x:v>7</x:v>
      </x:c>
      <x:c r="U241" s="39" t="str">
        <x:v>Wave 2 高價值套件</x:v>
      </x:c>
    </x:row>
    <x:row r="242" ht="86" customHeight="1">
      <x:c r="A242" s="36" t="str">
        <x:v>JV-238</x:v>
      </x:c>
      <x:c r="B242" s="37" t="str">
        <x:v>服務升級風險判斷器</x:v>
      </x:c>
      <x:c r="C242" s="37" t="str">
        <x:v>客戶成功／CX</x:v>
      </x:c>
      <x:c r="D242" s="37" t="str">
        <x:v>服務協同</x:v>
      </x:c>
      <x:c r="E242" s="37" t="str">
        <x:v>客戶成功、客服、產品、業務</x:v>
      </x:c>
      <x:c r="F242" s="37" t="str">
        <x:v>客戶成功主管、CSM、客服主管、產品經理</x:v>
      </x:c>
      <x:c r="G242" s="37" t="str">
        <x:v>現行作法對「依影響、合約與關係決定升級層級」多靠人工彙整、個人經驗或事後處理，難以一致追蹤，造成決策延遲與重工。</x:v>
      </x:c>
      <x:c r="H242" s="37" t="str">
        <x:v>資料／事件接入；依影響、合約與關係決定升級層級；證據與信心呈現；例外分流與人工覆核；提高處理一致性成效追蹤；完整稽核軌跡</x:v>
      </x:c>
      <x:c r="I242" s="37" t="str">
        <x:v>跨文件／跨系統比對；圖譜推理；差異與缺口生成；專門模型焦點：依影響、合約與關係決定升級層級</x:v>
      </x:c>
      <x:c r="J242" s="37" t="str">
        <x:v>以人機協作模式先產生草案與證據包，接受修改後執行核准步驟並建立完整稽核軌跡</x:v>
      </x:c>
      <x:c r="K242" s="37" t="str">
        <x:v>L3 可執行／關鍵核准</x:v>
      </x:c>
      <x:c r="L242" s="37" t="str">
        <x:v>產品使用、工單、合約、互動、NPS/VOC、付款與健康指標</x:v>
      </x:c>
      <x:c r="M242" s="37" t="str">
        <x:v>CRM、客服平台、產品分析、ERP、訂閱計費、DWH</x:v>
      </x:c>
      <x:c r="N242" s="37" t="str">
        <x:v>訂閱與專案型企業希望在客戶抱怨前發現風險，並證明客戶已取得價值。Demo：匯入一組去識別資料，觸發「依影響、合約與關係決定升級層級」，由系統提出證據、建議與下一步；使用者核准後回寫任務，最後呈現「提高處理一致性」前後差異。</x:v>
      </x:c>
      <x:c r="O242" s="37" t="str">
        <x:v>中低</x:v>
      </x:c>
      <x:c r="P242" s="37" t="str">
        <x:v>鄰近既有能力：原有 CRM/客服可能記錄案件；本群聚焦主動預測、旅程編排與價值實現。本 App 的獨立邊界是「依影響、合約與關係決定升級層級」，主要產出為「提高處理一致性」，不是一般登錄、查詢或看板。</x:v>
      </x:c>
      <x:c r="Q242" s="38" t="n">
        <x:v>4</x:v>
      </x:c>
      <x:c r="R242" s="38" t="n">
        <x:v>3</x:v>
      </x:c>
      <x:c r="S242" s="38" t="str">
        <x:v>P1</x:v>
      </x:c>
      <x:c r="T242" s="38" t="n">
        <x:v>7</x:v>
      </x:c>
      <x:c r="U242" s="39" t="str">
        <x:v>Wave 2 高價值套件</x:v>
      </x:c>
    </x:row>
    <x:row r="243" ht="86" customHeight="1">
      <x:c r="A243" s="36" t="str">
        <x:v>JV-239</x:v>
      </x:c>
      <x:c r="B243" s="37" t="str">
        <x:v>客戶溝通節奏編排器</x:v>
      </x:c>
      <x:c r="C243" s="37" t="str">
        <x:v>客戶成功／CX</x:v>
      </x:c>
      <x:c r="D243" s="37" t="str">
        <x:v>服務協同</x:v>
      </x:c>
      <x:c r="E243" s="37" t="str">
        <x:v>客戶成功、客服、產品、業務</x:v>
      </x:c>
      <x:c r="F243" s="37" t="str">
        <x:v>客戶成功主管、CSM、客服主管、產品經理</x:v>
      </x:c>
      <x:c r="G243" s="37" t="str">
        <x:v>現行作法對「依事件與偏好安排通知、會議與摘要」多靠人工彙整、個人經驗或事後處理，難以一致追蹤，造成決策延遲與重工。</x:v>
      </x:c>
      <x:c r="H243" s="37" t="str">
        <x:v>資料／事件接入；依事件與偏好安排通知、會議與摘要；證據與信心呈現；例外分流與人工覆核；避免過度或不足溝通成效追蹤；完整稽核軌跡</x:v>
      </x:c>
      <x:c r="I243" s="37" t="str">
        <x:v>異常偵測；因果線索分析；可解釋的建議排序；專門模型焦點：依事件與偏好安排通知、會議與摘要</x:v>
      </x:c>
      <x:c r="J243" s="37" t="str">
        <x:v>依目標自主規劃步驟、呼叫核准工具、遇到例外改走人工佇列，完成後驗證結果並回報</x:v>
      </x:c>
      <x:c r="K243" s="37" t="str">
        <x:v>L3 可執行／關鍵核准</x:v>
      </x:c>
      <x:c r="L243" s="37" t="str">
        <x:v>產品使用、工單、合約、互動、NPS/VOC、付款與健康指標</x:v>
      </x:c>
      <x:c r="M243" s="37" t="str">
        <x:v>CRM、客服平台、產品分析、ERP、訂閱計費、DWH</x:v>
      </x:c>
      <x:c r="N243" s="37" t="str">
        <x:v>訂閱與專案型企業希望在客戶抱怨前發現風險，並證明客戶已取得價值。Demo：匯入一組去識別資料，觸發「依事件與偏好安排通知、會議與摘要」，由系統提出證據、建議與下一步；使用者核准後回寫任務，最後呈現「避免過度或不足溝通」前後差異。</x:v>
      </x:c>
      <x:c r="O243" s="37" t="str">
        <x:v>中</x:v>
      </x:c>
      <x:c r="P243" s="37" t="str">
        <x:v>鄰近既有能力：原有 CRM/客服可能記錄案件；本群聚焦主動預測、旅程編排與價值實現。本 App 的獨立邊界是「依事件與偏好安排通知、會議與摘要」，主要產出為「避免過度或不足溝通」，不是一般登錄、查詢或看板。</x:v>
      </x:c>
      <x:c r="Q243" s="38" t="n">
        <x:v>4</x:v>
      </x:c>
      <x:c r="R243" s="38" t="n">
        <x:v>3</x:v>
      </x:c>
      <x:c r="S243" s="38" t="str">
        <x:v>P1</x:v>
      </x:c>
      <x:c r="T243" s="38" t="n">
        <x:v>7</x:v>
      </x:c>
      <x:c r="U243" s="39" t="str">
        <x:v>Wave 2 高價值套件</x:v>
      </x:c>
    </x:row>
    <x:row r="244" ht="86" customHeight="1">
      <x:c r="A244" s="36" t="str">
        <x:v>JV-240</x:v>
      </x:c>
      <x:c r="B244" s="37" t="str">
        <x:v>客戶成功容量規劃器</x:v>
      </x:c>
      <x:c r="C244" s="37" t="str">
        <x:v>客戶成功／CX</x:v>
      </x:c>
      <x:c r="D244" s="37" t="str">
        <x:v>服務協同</x:v>
      </x:c>
      <x:c r="E244" s="37" t="str">
        <x:v>客戶成功、客服、產品、業務</x:v>
      </x:c>
      <x:c r="F244" s="37" t="str">
        <x:v>客戶成功主管、CSM、客服主管、產品經理</x:v>
      </x:c>
      <x:c r="G244" s="37" t="str">
        <x:v>現行作法對「按客戶複雜度與風險預測 CSM 負載」多靠人工彙整、個人經驗或事後處理，難以一致追蹤，造成決策延遲與重工。</x:v>
      </x:c>
      <x:c r="H244" s="37" t="str">
        <x:v>資料／事件接入；按客戶複雜度與風險預測 CSM 負載；證據與信心呈現；例外分流與人工覆核；平衡服務品質成效追蹤；完整稽核軌跡</x:v>
      </x:c>
      <x:c r="I244" s="37" t="str">
        <x:v>RAG 檢索與來源引用；規則＋模型混合判斷；矛盾檢查；專門模型焦點：按客戶複雜度與風險預測 CSM 負載</x:v>
      </x:c>
      <x:c r="J244" s="37" t="str">
        <x:v>與多個專業 Agent 協作拆解任務，保留交接證據、逾時升級並在失敗時安全回滾</x:v>
      </x:c>
      <x:c r="K244" s="37" t="str">
        <x:v>L3 可執行／關鍵核准</x:v>
      </x:c>
      <x:c r="L244" s="37" t="str">
        <x:v>產品使用、工單、合約、互動、NPS/VOC、付款與健康指標</x:v>
      </x:c>
      <x:c r="M244" s="37" t="str">
        <x:v>CRM、客服平台、產品分析、ERP、訂閱計費、DWH</x:v>
      </x:c>
      <x:c r="N244" s="37" t="str">
        <x:v>訂閱與專案型企業希望在客戶抱怨前發現風險，並證明客戶已取得價值。Demo：匯入一組去識別資料，觸發「按客戶複雜度與風險預測 CSM 負載」，由系統提出證據、建議與下一步；使用者核准後回寫任務，最後呈現「平衡服務品質」前後差異。</x:v>
      </x:c>
      <x:c r="O244" s="37" t="str">
        <x:v>中低</x:v>
      </x:c>
      <x:c r="P244" s="37" t="str">
        <x:v>鄰近既有能力：原有 CRM/客服可能記錄案件；本群聚焦主動預測、旅程編排與價值實現。本 App 的獨立邊界是「按客戶複雜度與風險預測 CSM 負載」，主要產出為「平衡服務品質」，不是一般登錄、查詢或看板。</x:v>
      </x:c>
      <x:c r="Q244" s="38" t="n">
        <x:v>4</x:v>
      </x:c>
      <x:c r="R244" s="38" t="n">
        <x:v>4</x:v>
      </x:c>
      <x:c r="S244" s="38" t="str">
        <x:v>P1</x:v>
      </x:c>
      <x:c r="T244" s="38" t="n">
        <x:v>9</x:v>
      </x:c>
      <x:c r="U244" s="39" t="str">
        <x:v>Wave 2 高價值套件</x:v>
      </x:c>
    </x:row>
    <x:row r="245" ht="86" customHeight="1">
      <x:c r="A245" s="36" t="str">
        <x:v>JV-241</x:v>
      </x:c>
      <x:c r="B245" s="37" t="str">
        <x:v>AI 訪談轉需求工作台</x:v>
      </x:c>
      <x:c r="C245" s="37" t="str">
        <x:v>軟體研發／DevOps</x:v>
      </x:c>
      <x:c r="D245" s="37" t="str">
        <x:v>需求工程</x:v>
      </x:c>
      <x:c r="E245" s="37" t="str">
        <x:v>研發、資訊、產品、SRE</x:v>
      </x:c>
      <x:c r="F245" s="37" t="str">
        <x:v>工程主管、開發者、測試、SRE、產品經理</x:v>
      </x:c>
      <x:c r="G245" s="37" t="str">
        <x:v>現行作法對「從訪談辨識目標、規則、例外與未決問題」多靠人工彙整、個人經驗或事後處理，難以一致追蹤，造成決策延遲與重工。</x:v>
      </x:c>
      <x:c r="H245" s="37" t="str">
        <x:v>資料／事件接入；從訪談辨識目標、規則、例外與未決問題；證據與信心呈現；例外分流與人工覆核；加速 PRD 成形成效追蹤；完整稽核軌跡</x:v>
      </x:c>
      <x:c r="I245" s="37" t="str">
        <x:v>語意分類與實體抽取；風險／信心評分；具證據的生成與摘要；專門模型焦點：從訪談辨識目標、規則、例外與未決問題</x:v>
      </x:c>
      <x:c r="J245" s="37" t="str">
        <x:v>持續監測事件，達門檻後建立案件、蒐集證據、指派責任並追蹤結案；高風險動作需人工核准</x:v>
      </x:c>
      <x:c r="K245" s="37" t="str">
        <x:v>L3 可執行／關鍵核准</x:v>
      </x:c>
      <x:c r="L245" s="37" t="str">
        <x:v>程式碼、需求、架構、測試、事件、部署、依賴、使用遙測</x:v>
      </x:c>
      <x:c r="M245" s="37" t="str">
        <x:v>GitHub/GitLab、Jira、CI/CD、APM、Kubernetes、ITSM、雲端平台</x:v>
      </x:c>
      <x:c r="N245" s="37" t="str">
        <x:v>企業軟體團隊需加速從需求到發布，同時控制技術債、可靠性與供應鏈風險。Demo：匯入一組去識別資料，觸發「從訪談辨識目標、規則、例外與未決問題」，由系統提出證據、建議與下一步；使用者核准後回寫任務，最後呈現「加速 PRD 成形」前後差異。</x:v>
      </x:c>
      <x:c r="O245" s="37" t="str">
        <x:v>中低</x:v>
      </x:c>
      <x:c r="P245" s="37" t="str">
        <x:v>鄰近既有能力：原有 ITSM/監控偏運維；本群聚焦軟體生命週期推理、品質與自主修復。本 App 的獨立邊界是「從訪談辨識目標、規則、例外與未決問題」，主要產出為「加速 PRD 成形」，不是一般登錄、查詢或看板。</x:v>
      </x:c>
      <x:c r="Q245" s="38" t="n">
        <x:v>5</x:v>
      </x:c>
      <x:c r="R245" s="38" t="n">
        <x:v>3</x:v>
      </x:c>
      <x:c r="S245" s="38" t="str">
        <x:v>P1</x:v>
      </x:c>
      <x:c r="T245" s="38" t="n">
        <x:v>7</x:v>
      </x:c>
      <x:c r="U245" s="39" t="str">
        <x:v>Wave 2 高價值套件</x:v>
      </x:c>
    </x:row>
    <x:row r="246" ht="86" customHeight="1">
      <x:c r="A246" s="36" t="str">
        <x:v>JV-242</x:v>
      </x:c>
      <x:c r="B246" s="37" t="str">
        <x:v>需求矛盾偵測器</x:v>
      </x:c>
      <x:c r="C246" s="37" t="str">
        <x:v>軟體研發／DevOps</x:v>
      </x:c>
      <x:c r="D246" s="37" t="str">
        <x:v>需求工程</x:v>
      </x:c>
      <x:c r="E246" s="37" t="str">
        <x:v>研發、資訊、產品、SRE</x:v>
      </x:c>
      <x:c r="F246" s="37" t="str">
        <x:v>工程主管、開發者、測試、SRE、產品經理</x:v>
      </x:c>
      <x:c r="G246" s="37" t="str">
        <x:v>現行作法對「跨文件找出角色、規則與驗收條件衝突」多靠人工彙整、個人經驗或事後處理，難以一致追蹤，造成決策延遲與重工。</x:v>
      </x:c>
      <x:c r="H246" s="37" t="str">
        <x:v>資料／事件接入；跨文件找出角色、規則與驗收條件衝突；證據與信心呈現；例外分流與人工覆核；降低返工成效追蹤；完整稽核軌跡</x:v>
      </x:c>
      <x:c r="I246" s="37" t="str">
        <x:v>預測與情境模擬；多目標最佳化；不確定性呈現；專門模型焦點：跨文件找出角色、規則與驗收條件衝突</x:v>
      </x:c>
      <x:c r="J246" s="37" t="str">
        <x:v>定期掃描資料與外部訊號，提出優先序與建議；經核准後同步任務與更新來源系統</x:v>
      </x:c>
      <x:c r="K246" s="37" t="str">
        <x:v>L3 可執行／關鍵核准</x:v>
      </x:c>
      <x:c r="L246" s="37" t="str">
        <x:v>程式碼、需求、架構、測試、事件、部署、依賴、使用遙測</x:v>
      </x:c>
      <x:c r="M246" s="37" t="str">
        <x:v>GitHub/GitLab、Jira、CI/CD、APM、Kubernetes、ITSM、雲端平台</x:v>
      </x:c>
      <x:c r="N246" s="37" t="str">
        <x:v>企業軟體團隊需加速從需求到發布，同時控制技術債、可靠性與供應鏈風險。Demo：匯入一組去識別資料，觸發「跨文件找出角色、規則與驗收條件衝突」，由系統提出證據、建議與下一步；使用者核准後回寫任務，最後呈現「降低返工」前後差異。</x:v>
      </x:c>
      <x:c r="O246" s="37" t="str">
        <x:v>低</x:v>
      </x:c>
      <x:c r="P246" s="37" t="str">
        <x:v>鄰近既有能力：原有 ITSM/監控偏運維；本群聚焦軟體生命週期推理、品質與自主修復。本 App 的獨立邊界是「跨文件找出角色、規則與驗收條件衝突」，主要產出為「降低返工」，不是一般登錄、查詢或看板。</x:v>
      </x:c>
      <x:c r="Q246" s="38" t="n">
        <x:v>5</x:v>
      </x:c>
      <x:c r="R246" s="38" t="n">
        <x:v>4</x:v>
      </x:c>
      <x:c r="S246" s="38" t="str">
        <x:v>P1</x:v>
      </x:c>
      <x:c r="T246" s="38" t="n">
        <x:v>9</x:v>
      </x:c>
      <x:c r="U246" s="39" t="str">
        <x:v>Wave 2 高價值套件</x:v>
      </x:c>
    </x:row>
    <x:row r="247" ht="86" customHeight="1">
      <x:c r="A247" s="36" t="str">
        <x:v>JV-243</x:v>
      </x:c>
      <x:c r="B247" s="37" t="str">
        <x:v>需求可測試性重構器</x:v>
      </x:c>
      <x:c r="C247" s="37" t="str">
        <x:v>軟體研發／DevOps</x:v>
      </x:c>
      <x:c r="D247" s="37" t="str">
        <x:v>需求工程</x:v>
      </x:c>
      <x:c r="E247" s="37" t="str">
        <x:v>研發、資訊、產品、SRE</x:v>
      </x:c>
      <x:c r="F247" s="37" t="str">
        <x:v>工程主管、開發者、測試、SRE、產品經理</x:v>
      </x:c>
      <x:c r="G247" s="37" t="str">
        <x:v>現行作法對「把模糊語句轉成可驗證 Given-When-Then」多靠人工彙整、個人經驗或事後處理，難以一致追蹤，造成決策延遲與重工。</x:v>
      </x:c>
      <x:c r="H247" s="37" t="str">
        <x:v>資料／事件接入；把模糊語句轉成可驗證 Given-When-Then；證據與信心呈現；例外分流與人工覆核；提高驗收清晰度成效追蹤；完整稽核軌跡</x:v>
      </x:c>
      <x:c r="I247" s="37" t="str">
        <x:v>跨文件／跨系統比對；圖譜推理；差異與缺口生成；專門模型焦點：把模糊語句轉成可驗證 Given-When-Then</x:v>
      </x:c>
      <x:c r="J247" s="37" t="str">
        <x:v>以人機協作模式先產生草案與證據包，接受修改後執行核准步驟並建立完整稽核軌跡</x:v>
      </x:c>
      <x:c r="K247" s="37" t="str">
        <x:v>L3 可執行／關鍵核准</x:v>
      </x:c>
      <x:c r="L247" s="37" t="str">
        <x:v>程式碼、需求、架構、測試、事件、部署、依賴、使用遙測</x:v>
      </x:c>
      <x:c r="M247" s="37" t="str">
        <x:v>GitHub/GitLab、Jira、CI/CD、APM、Kubernetes、ITSM、雲端平台</x:v>
      </x:c>
      <x:c r="N247" s="37" t="str">
        <x:v>企業軟體團隊需加速從需求到發布，同時控制技術債、可靠性與供應鏈風險。Demo：匯入一組去識別資料，觸發「把模糊語句轉成可驗證 Given-When-Then」，由系統提出證據、建議與下一步；使用者核准後回寫任務，最後呈現「提高驗收清晰度」前後差異。</x:v>
      </x:c>
      <x:c r="O247" s="37" t="str">
        <x:v>低</x:v>
      </x:c>
      <x:c r="P247" s="37" t="str">
        <x:v>鄰近既有能力：原有 ITSM/監控偏運維；本群聚焦軟體生命週期推理、品質與自主修復。本 App 的獨立邊界是「把模糊語句轉成可驗證 Given-When-Then」，主要產出為「提高驗收清晰度」，不是一般登錄、查詢或看板。</x:v>
      </x:c>
      <x:c r="Q247" s="38" t="n">
        <x:v>5</x:v>
      </x:c>
      <x:c r="R247" s="38" t="n">
        <x:v>4</x:v>
      </x:c>
      <x:c r="S247" s="38" t="str">
        <x:v>P1</x:v>
      </x:c>
      <x:c r="T247" s="38" t="n">
        <x:v>9</x:v>
      </x:c>
      <x:c r="U247" s="39" t="str">
        <x:v>Wave 2 高價值套件</x:v>
      </x:c>
    </x:row>
    <x:row r="248" ht="86" customHeight="1">
      <x:c r="A248" s="36" t="str">
        <x:v>JV-244</x:v>
      </x:c>
      <x:c r="B248" s="37" t="str">
        <x:v>需求影響範圍分析器</x:v>
      </x:c>
      <x:c r="C248" s="37" t="str">
        <x:v>軟體研發／DevOps</x:v>
      </x:c>
      <x:c r="D248" s="37" t="str">
        <x:v>需求工程</x:v>
      </x:c>
      <x:c r="E248" s="37" t="str">
        <x:v>研發、資訊、產品、SRE</x:v>
      </x:c>
      <x:c r="F248" s="37" t="str">
        <x:v>工程主管、開發者、測試、SRE、產品經理</x:v>
      </x:c>
      <x:c r="G248" s="37" t="str">
        <x:v>現行作法對「連結需求到服務、資料、測試與文件」多靠人工彙整、個人經驗或事後處理，難以一致追蹤，造成決策延遲與重工。</x:v>
      </x:c>
      <x:c r="H248" s="37" t="str">
        <x:v>資料／事件接入；連結需求到服務、資料、測試與文件；證據與信心呈現；例外分流與人工覆核；估算真實改動成效追蹤；完整稽核軌跡</x:v>
      </x:c>
      <x:c r="I248" s="37" t="str">
        <x:v>異常偵測；因果線索分析；可解釋的建議排序；專門模型焦點：連結需求到服務、資料、測試與文件</x:v>
      </x:c>
      <x:c r="J248" s="37" t="str">
        <x:v>依目標自主規劃步驟、呼叫核准工具、遇到例外改走人工佇列，完成後驗證結果並回報</x:v>
      </x:c>
      <x:c r="K248" s="37" t="str">
        <x:v>L3 可執行／關鍵核准</x:v>
      </x:c>
      <x:c r="L248" s="37" t="str">
        <x:v>程式碼、需求、架構、測試、事件、部署、依賴、使用遙測</x:v>
      </x:c>
      <x:c r="M248" s="37" t="str">
        <x:v>GitHub/GitLab、Jira、CI/CD、APM、Kubernetes、ITSM、雲端平台</x:v>
      </x:c>
      <x:c r="N248" s="37" t="str">
        <x:v>企業軟體團隊需加速從需求到發布，同時控制技術債、可靠性與供應鏈風險。Demo：匯入一組去識別資料，觸發「連結需求到服務、資料、測試與文件」，由系統提出證據、建議與下一步；使用者核准後回寫任務，最後呈現「估算真實改動」前後差異。</x:v>
      </x:c>
      <x:c r="O248" s="37" t="str">
        <x:v>低</x:v>
      </x:c>
      <x:c r="P248" s="37" t="str">
        <x:v>鄰近既有能力：原有 ITSM/監控偏運維；本群聚焦軟體生命週期推理、品質與自主修復。本 App 的獨立邊界是「連結需求到服務、資料、測試與文件」，主要產出為「估算真實改動」，不是一般登錄、查詢或看板。</x:v>
      </x:c>
      <x:c r="Q248" s="38" t="n">
        <x:v>4</x:v>
      </x:c>
      <x:c r="R248" s="38" t="n">
        <x:v>4</x:v>
      </x:c>
      <x:c r="S248" s="38" t="str">
        <x:v>P1</x:v>
      </x:c>
      <x:c r="T248" s="38" t="n">
        <x:v>9</x:v>
      </x:c>
      <x:c r="U248" s="39" t="str">
        <x:v>Wave 2 高價值套件</x:v>
      </x:c>
    </x:row>
    <x:row r="249" ht="86" customHeight="1">
      <x:c r="A249" s="36" t="str">
        <x:v>JV-245</x:v>
      </x:c>
      <x:c r="B249" s="37" t="str">
        <x:v>需求價值證據板</x:v>
      </x:c>
      <x:c r="C249" s="37" t="str">
        <x:v>軟體研發／DevOps</x:v>
      </x:c>
      <x:c r="D249" s="37" t="str">
        <x:v>需求工程</x:v>
      </x:c>
      <x:c r="E249" s="37" t="str">
        <x:v>研發、資訊、產品、SRE</x:v>
      </x:c>
      <x:c r="F249" s="37" t="str">
        <x:v>工程主管、開發者、測試、SRE、產品經理</x:v>
      </x:c>
      <x:c r="G249" s="37" t="str">
        <x:v>現行作法對「把需求連結到客戶訊號、營收與風險」多靠人工彙整、個人經驗或事後處理，難以一致追蹤，造成決策延遲與重工。</x:v>
      </x:c>
      <x:c r="H249" s="37" t="str">
        <x:v>資料／事件接入；把需求連結到客戶訊號、營收與風險；證據與信心呈現；例外分流與人工覆核；支援排序成效追蹤；完整稽核軌跡</x:v>
      </x:c>
      <x:c r="I249" s="37" t="str">
        <x:v>RAG 檢索與來源引用；規則＋模型混合判斷；矛盾檢查；專門模型焦點：把需求連結到客戶訊號、營收與風險</x:v>
      </x:c>
      <x:c r="J249" s="37" t="str">
        <x:v>與多個專業 Agent 協作拆解任務，保留交接證據、逾時升級並在失敗時安全回滾</x:v>
      </x:c>
      <x:c r="K249" s="37" t="str">
        <x:v>L2 建議／需核准</x:v>
      </x:c>
      <x:c r="L249" s="37" t="str">
        <x:v>程式碼、需求、架構、測試、事件、部署、依賴、使用遙測</x:v>
      </x:c>
      <x:c r="M249" s="37" t="str">
        <x:v>GitHub/GitLab、Jira、CI/CD、APM、Kubernetes、ITSM、雲端平台</x:v>
      </x:c>
      <x:c r="N249" s="37" t="str">
        <x:v>企業軟體團隊需加速從需求到發布，同時控制技術債、可靠性與供應鏈風險。Demo：匯入一組去識別資料，觸發「把需求連結到客戶訊號、營收與風險」，由系統提出證據、建議與下一步；使用者核准後回寫任務，最後呈現「支援排序」前後差異。</x:v>
      </x:c>
      <x:c r="O249" s="37" t="str">
        <x:v>中低</x:v>
      </x:c>
      <x:c r="P249" s="37" t="str">
        <x:v>鄰近既有能力：原有 ITSM/監控偏運維；本群聚焦軟體生命週期推理、品質與自主修復。本 App 的獨立邊界是「把需求連結到客戶訊號、營收與風險」，主要產出為「支援排序」，不是一般登錄、查詢或看板。</x:v>
      </x:c>
      <x:c r="Q249" s="38" t="n">
        <x:v>5</x:v>
      </x:c>
      <x:c r="R249" s="38" t="n">
        <x:v>5</x:v>
      </x:c>
      <x:c r="S249" s="38" t="str">
        <x:v>P1</x:v>
      </x:c>
      <x:c r="T249" s="38" t="n">
        <x:v>11</x:v>
      </x:c>
      <x:c r="U249" s="39" t="str">
        <x:v>Wave 2 高價值套件</x:v>
      </x:c>
    </x:row>
    <x:row r="250" ht="86" customHeight="1">
      <x:c r="A250" s="36" t="str">
        <x:v>JV-246</x:v>
      </x:c>
      <x:c r="B250" s="37" t="str">
        <x:v>架構決策紀錄 Agent</x:v>
      </x:c>
      <x:c r="C250" s="37" t="str">
        <x:v>軟體研發／DevOps</x:v>
      </x:c>
      <x:c r="D250" s="37" t="str">
        <x:v>架構治理</x:v>
      </x:c>
      <x:c r="E250" s="37" t="str">
        <x:v>研發、資訊、產品、SRE</x:v>
      </x:c>
      <x:c r="F250" s="37" t="str">
        <x:v>工程主管、開發者、測試、SRE、產品經理</x:v>
      </x:c>
      <x:c r="G250" s="37" t="str">
        <x:v>現行作法對「從討論產生 ADR 並追蹤假設與後果」多靠人工彙整、個人經驗或事後處理，難以一致追蹤，造成決策延遲與重工。</x:v>
      </x:c>
      <x:c r="H250" s="37" t="str">
        <x:v>資料／事件接入；從討論產生 ADR 並追蹤假設與後果；證據與信心呈現；例外分流與人工覆核；保存決策脈絡成效追蹤；完整稽核軌跡</x:v>
      </x:c>
      <x:c r="I250" s="37" t="str">
        <x:v>語意分類與實體抽取；風險／信心評分；具證據的生成與摘要；專門模型焦點：從討論產生 ADR 並追蹤假設與後果</x:v>
      </x:c>
      <x:c r="J250" s="37" t="str">
        <x:v>持續監測事件，達門檻後建立案件、蒐集證據、指派責任並追蹤結案；高風險動作需人工核准</x:v>
      </x:c>
      <x:c r="K250" s="37" t="str">
        <x:v>L3 可執行／關鍵核准</x:v>
      </x:c>
      <x:c r="L250" s="37" t="str">
        <x:v>程式碼、需求、架構、測試、事件、部署、依賴、使用遙測</x:v>
      </x:c>
      <x:c r="M250" s="37" t="str">
        <x:v>GitHub/GitLab、Jira、CI/CD、APM、Kubernetes、ITSM、雲端平台</x:v>
      </x:c>
      <x:c r="N250" s="37" t="str">
        <x:v>企業軟體團隊需加速從需求到發布，同時控制技術債、可靠性與供應鏈風險。Demo：匯入一組去識別資料，觸發「從討論產生 ADR 並追蹤假設與後果」，由系統提出證據、建議與下一步；使用者核准後回寫任務，最後呈現「保存決策脈絡」前後差異。</x:v>
      </x:c>
      <x:c r="O250" s="37" t="str">
        <x:v>中低</x:v>
      </x:c>
      <x:c r="P250" s="37" t="str">
        <x:v>鄰近既有能力：原有 ITSM/監控偏運維；本群聚焦軟體生命週期推理、品質與自主修復。本 App 的獨立邊界是「從討論產生 ADR 並追蹤假設與後果」，主要產出為「保存決策脈絡」，不是一般登錄、查詢或看板。</x:v>
      </x:c>
      <x:c r="Q250" s="38" t="n">
        <x:v>5</x:v>
      </x:c>
      <x:c r="R250" s="38" t="n">
        <x:v>3</x:v>
      </x:c>
      <x:c r="S250" s="38" t="str">
        <x:v>P1</x:v>
      </x:c>
      <x:c r="T250" s="38" t="n">
        <x:v>7</x:v>
      </x:c>
      <x:c r="U250" s="39" t="str">
        <x:v>Wave 2 高價值套件</x:v>
      </x:c>
    </x:row>
    <x:row r="251" ht="86" customHeight="1">
      <x:c r="A251" s="36" t="str">
        <x:v>JV-247</x:v>
      </x:c>
      <x:c r="B251" s="37" t="str">
        <x:v>服務邊界異味偵測器</x:v>
      </x:c>
      <x:c r="C251" s="37" t="str">
        <x:v>軟體研發／DevOps</x:v>
      </x:c>
      <x:c r="D251" s="37" t="str">
        <x:v>架構治理</x:v>
      </x:c>
      <x:c r="E251" s="37" t="str">
        <x:v>研發、資訊、產品、SRE</x:v>
      </x:c>
      <x:c r="F251" s="37" t="str">
        <x:v>工程主管、開發者、測試、SRE、產品經理</x:v>
      </x:c>
      <x:c r="G251" s="37" t="str">
        <x:v>現行作法對「以呼叫、資料與變更耦合找出錯誤切分」多靠人工彙整、個人經驗或事後處理，難以一致追蹤，造成決策延遲與重工。</x:v>
      </x:c>
      <x:c r="H251" s="37" t="str">
        <x:v>資料／事件接入；以呼叫、資料與變更耦合找出錯誤切分；證據與信心呈現；例外分流與人工覆核；改善架構成效追蹤；完整稽核軌跡</x:v>
      </x:c>
      <x:c r="I251" s="37" t="str">
        <x:v>預測與情境模擬；多目標最佳化；不確定性呈現；專門模型焦點：以呼叫、資料與變更耦合找出錯誤切分</x:v>
      </x:c>
      <x:c r="J251" s="37" t="str">
        <x:v>定期掃描資料與外部訊號，提出優先序與建議；經核准後同步任務與更新來源系統</x:v>
      </x:c>
      <x:c r="K251" s="37" t="str">
        <x:v>L3 可執行／關鍵核准</x:v>
      </x:c>
      <x:c r="L251" s="37" t="str">
        <x:v>程式碼、需求、架構、測試、事件、部署、依賴、使用遙測</x:v>
      </x:c>
      <x:c r="M251" s="37" t="str">
        <x:v>GitHub/GitLab、Jira、CI/CD、APM、Kubernetes、ITSM、雲端平台</x:v>
      </x:c>
      <x:c r="N251" s="37" t="str">
        <x:v>企業軟體團隊需加速從需求到發布，同時控制技術債、可靠性與供應鏈風險。Demo：匯入一組去識別資料，觸發「以呼叫、資料與變更耦合找出錯誤切分」，由系統提出證據、建議與下一步；使用者核准後回寫任務，最後呈現「改善架構」前後差異。</x:v>
      </x:c>
      <x:c r="O251" s="37" t="str">
        <x:v>低</x:v>
      </x:c>
      <x:c r="P251" s="37" t="str">
        <x:v>鄰近既有能力：原有 ITSM/監控偏運維；本群聚焦軟體生命週期推理、品質與自主修復。本 App 的獨立邊界是「以呼叫、資料與變更耦合找出錯誤切分」，主要產出為「改善架構」，不是一般登錄、查詢或看板。</x:v>
      </x:c>
      <x:c r="Q251" s="38" t="n">
        <x:v>5</x:v>
      </x:c>
      <x:c r="R251" s="38" t="n">
        <x:v>4</x:v>
      </x:c>
      <x:c r="S251" s="38" t="str">
        <x:v>P1</x:v>
      </x:c>
      <x:c r="T251" s="38" t="n">
        <x:v>9</x:v>
      </x:c>
      <x:c r="U251" s="39" t="str">
        <x:v>Wave 2 高價值套件</x:v>
      </x:c>
    </x:row>
    <x:row r="252" ht="86" customHeight="1">
      <x:c r="A252" s="36" t="str">
        <x:v>JV-248</x:v>
      </x:c>
      <x:c r="B252" s="37" t="str">
        <x:v>技術債利息估算器</x:v>
      </x:c>
      <x:c r="C252" s="37" t="str">
        <x:v>軟體研發／DevOps</x:v>
      </x:c>
      <x:c r="D252" s="37" t="str">
        <x:v>架構治理</x:v>
      </x:c>
      <x:c r="E252" s="37" t="str">
        <x:v>研發、資訊、產品、SRE</x:v>
      </x:c>
      <x:c r="F252" s="37" t="str">
        <x:v>工程主管、開發者、測試、SRE、產品經理</x:v>
      </x:c>
      <x:c r="G252" s="37" t="str">
        <x:v>現行作法對「量化維護、事故與交付延遲成本」多靠人工彙整、個人經驗或事後處理，難以一致追蹤，造成決策延遲與重工。</x:v>
      </x:c>
      <x:c r="H252" s="37" t="str">
        <x:v>資料／事件接入；量化維護、事故與交付延遲成本；證據與信心呈現；例外分流與人工覆核；讓債務可排序成效追蹤；完整稽核軌跡</x:v>
      </x:c>
      <x:c r="I252" s="37" t="str">
        <x:v>跨文件／跨系統比對；圖譜推理；差異與缺口生成；專門模型焦點：量化維護、事故與交付延遲成本</x:v>
      </x:c>
      <x:c r="J252" s="37" t="str">
        <x:v>以人機協作模式先產生草案與證據包，接受修改後執行核准步驟並建立完整稽核軌跡</x:v>
      </x:c>
      <x:c r="K252" s="37" t="str">
        <x:v>L3 可執行／關鍵核准</x:v>
      </x:c>
      <x:c r="L252" s="37" t="str">
        <x:v>程式碼、需求、架構、測試、事件、部署、依賴、使用遙測</x:v>
      </x:c>
      <x:c r="M252" s="37" t="str">
        <x:v>GitHub/GitLab、Jira、CI/CD、APM、Kubernetes、ITSM、雲端平台</x:v>
      </x:c>
      <x:c r="N252" s="37" t="str">
        <x:v>企業軟體團隊需加速從需求到發布，同時控制技術債、可靠性與供應鏈風險。Demo：匯入一組去識別資料，觸發「量化維護、事故與交付延遲成本」，由系統提出證據、建議與下一步；使用者核准後回寫任務，最後呈現「讓債務可排序」前後差異。</x:v>
      </x:c>
      <x:c r="O252" s="37" t="str">
        <x:v>低</x:v>
      </x:c>
      <x:c r="P252" s="37" t="str">
        <x:v>鄰近既有能力：原有 ITSM/監控偏運維；本群聚焦軟體生命週期推理、品質與自主修復。本 App 的獨立邊界是「量化維護、事故與交付延遲成本」，主要產出為「讓債務可排序」，不是一般登錄、查詢或看板。</x:v>
      </x:c>
      <x:c r="Q252" s="38" t="n">
        <x:v>5</x:v>
      </x:c>
      <x:c r="R252" s="38" t="n">
        <x:v>4</x:v>
      </x:c>
      <x:c r="S252" s="38" t="str">
        <x:v>P1</x:v>
      </x:c>
      <x:c r="T252" s="38" t="n">
        <x:v>9</x:v>
      </x:c>
      <x:c r="U252" s="39" t="str">
        <x:v>Wave 2 高價值套件</x:v>
      </x:c>
    </x:row>
    <x:row r="253" ht="86" customHeight="1">
      <x:c r="A253" s="36" t="str">
        <x:v>JV-249</x:v>
      </x:c>
      <x:c r="B253" s="37" t="str">
        <x:v>Legacy System 理解器</x:v>
      </x:c>
      <x:c r="C253" s="37" t="str">
        <x:v>軟體研發／DevOps</x:v>
      </x:c>
      <x:c r="D253" s="37" t="str">
        <x:v>架構治理</x:v>
      </x:c>
      <x:c r="E253" s="37" t="str">
        <x:v>研發、資訊、產品、SRE</x:v>
      </x:c>
      <x:c r="F253" s="37" t="str">
        <x:v>工程主管、開發者、測試、SRE、產品經理</x:v>
      </x:c>
      <x:c r="G253" s="37" t="str">
        <x:v>現行作法對「自動建立舊程式流程、依賴與資料地圖」多靠人工彙整、個人經驗或事後處理，難以一致追蹤，造成決策延遲與重工。</x:v>
      </x:c>
      <x:c r="H253" s="37" t="str">
        <x:v>資料／事件接入；自動建立舊程式流程、依賴與資料地圖；證據與信心呈現；例外分流與人工覆核；降低接手風險成效追蹤；完整稽核軌跡</x:v>
      </x:c>
      <x:c r="I253" s="37" t="str">
        <x:v>異常偵測；因果線索分析；可解釋的建議排序；專門模型焦點：自動建立舊程式流程、依賴與資料地圖</x:v>
      </x:c>
      <x:c r="J253" s="37" t="str">
        <x:v>依目標自主規劃步驟、呼叫核准工具、遇到例外改走人工佇列，完成後驗證結果並回報</x:v>
      </x:c>
      <x:c r="K253" s="37" t="str">
        <x:v>L3 可執行／關鍵核准</x:v>
      </x:c>
      <x:c r="L253" s="37" t="str">
        <x:v>程式碼、需求、架構、測試、事件、部署、依賴、使用遙測</x:v>
      </x:c>
      <x:c r="M253" s="37" t="str">
        <x:v>GitHub/GitLab、Jira、CI/CD、APM、Kubernetes、ITSM、雲端平台</x:v>
      </x:c>
      <x:c r="N253" s="37" t="str">
        <x:v>企業軟體團隊需加速從需求到發布，同時控制技術債、可靠性與供應鏈風險。Demo：匯入一組去識別資料，觸發「自動建立舊程式流程、依賴與資料地圖」，由系統提出證據、建議與下一步；使用者核准後回寫任務，最後呈現「降低接手風險」前後差異。</x:v>
      </x:c>
      <x:c r="O253" s="37" t="str">
        <x:v>低</x:v>
      </x:c>
      <x:c r="P253" s="37" t="str">
        <x:v>鄰近既有能力：原有 ITSM/監控偏運維；本群聚焦軟體生命週期推理、品質與自主修復。本 App 的獨立邊界是「自動建立舊程式流程、依賴與資料地圖」，主要產出為「降低接手風險」，不是一般登錄、查詢或看板。</x:v>
      </x:c>
      <x:c r="Q253" s="38" t="n">
        <x:v>5</x:v>
      </x:c>
      <x:c r="R253" s="38" t="n">
        <x:v>4</x:v>
      </x:c>
      <x:c r="S253" s="38" t="str">
        <x:v>P1</x:v>
      </x:c>
      <x:c r="T253" s="38" t="n">
        <x:v>9</x:v>
      </x:c>
      <x:c r="U253" s="39" t="str">
        <x:v>Wave 2 高價值套件</x:v>
      </x:c>
    </x:row>
    <x:row r="254" ht="86" customHeight="1">
      <x:c r="A254" s="36" t="str">
        <x:v>JV-250</x:v>
      </x:c>
      <x:c r="B254" s="37" t="str">
        <x:v>現代化路徑模擬器</x:v>
      </x:c>
      <x:c r="C254" s="37" t="str">
        <x:v>軟體研發／DevOps</x:v>
      </x:c>
      <x:c r="D254" s="37" t="str">
        <x:v>架構治理</x:v>
      </x:c>
      <x:c r="E254" s="37" t="str">
        <x:v>研發、資訊、產品、SRE</x:v>
      </x:c>
      <x:c r="F254" s="37" t="str">
        <x:v>工程主管、開發者、測試、SRE、產品經理</x:v>
      </x:c>
      <x:c r="G254" s="37" t="str">
        <x:v>現行作法對「比較重構、替換、封裝與漸進拆分方案」多靠人工彙整、個人經驗或事後處理，難以一致追蹤，造成決策延遲與重工。</x:v>
      </x:c>
      <x:c r="H254" s="37" t="str">
        <x:v>資料／事件接入；比較重構、替換、封裝與漸進拆分方案；證據與信心呈現；例外分流與人工覆核；支援投資決策成效追蹤；完整稽核軌跡</x:v>
      </x:c>
      <x:c r="I254" s="37" t="str">
        <x:v>RAG 檢索與來源引用；規則＋模型混合判斷；矛盾檢查；專門模型焦點：比較重構、替換、封裝與漸進拆分方案</x:v>
      </x:c>
      <x:c r="J254" s="37" t="str">
        <x:v>與多個專業 Agent 協作拆解任務，保留交接證據、逾時升級並在失敗時安全回滾</x:v>
      </x:c>
      <x:c r="K254" s="37" t="str">
        <x:v>L2 建議／需核准</x:v>
      </x:c>
      <x:c r="L254" s="37" t="str">
        <x:v>程式碼、需求、架構、測試、事件、部署、依賴、使用遙測</x:v>
      </x:c>
      <x:c r="M254" s="37" t="str">
        <x:v>GitHub/GitLab、Jira、CI/CD、APM、Kubernetes、ITSM、雲端平台</x:v>
      </x:c>
      <x:c r="N254" s="37" t="str">
        <x:v>企業軟體團隊需加速從需求到發布，同時控制技術債、可靠性與供應鏈風險。Demo：匯入一組去識別資料，觸發「比較重構、替換、封裝與漸進拆分方案」，由系統提出證據、建議與下一步；使用者核准後回寫任務，最後呈現「支援投資決策」前後差異。</x:v>
      </x:c>
      <x:c r="O254" s="37" t="str">
        <x:v>中低</x:v>
      </x:c>
      <x:c r="P254" s="37" t="str">
        <x:v>鄰近既有能力：原有 ITSM/監控偏運維；本群聚焦軟體生命週期推理、品質與自主修復。本 App 的獨立邊界是「比較重構、替換、封裝與漸進拆分方案」，主要產出為「支援投資決策」，不是一般登錄、查詢或看板。</x:v>
      </x:c>
      <x:c r="Q254" s="38" t="n">
        <x:v>4</x:v>
      </x:c>
      <x:c r="R254" s="38" t="n">
        <x:v>5</x:v>
      </x:c>
      <x:c r="S254" s="38" t="str">
        <x:v>P1</x:v>
      </x:c>
      <x:c r="T254" s="38" t="n">
        <x:v>11</x:v>
      </x:c>
      <x:c r="U254" s="39" t="str">
        <x:v>Wave 2 高價值套件</x:v>
      </x:c>
    </x:row>
    <x:row r="255" ht="86" customHeight="1">
      <x:c r="A255" s="36" t="str">
        <x:v>JV-251</x:v>
      </x:c>
      <x:c r="B255" s="37" t="str">
        <x:v>跨儲存庫 Code Review Agent</x:v>
      </x:c>
      <x:c r="C255" s="37" t="str">
        <x:v>軟體研發／DevOps</x:v>
      </x:c>
      <x:c r="D255" s="37" t="str">
        <x:v>程式碼品質</x:v>
      </x:c>
      <x:c r="E255" s="37" t="str">
        <x:v>研發、資訊、產品、SRE</x:v>
      </x:c>
      <x:c r="F255" s="37" t="str">
        <x:v>工程主管、開發者、測試、SRE、產品經理</x:v>
      </x:c>
      <x:c r="G255" s="37" t="str">
        <x:v>現行作法對「追蹤共用契約與跨服務改動」多靠人工彙整、個人經驗或事後處理，難以一致追蹤，造成決策延遲與重工。</x:v>
      </x:c>
      <x:c r="H255" s="37" t="str">
        <x:v>資料／事件接入；追蹤共用契約與跨服務改動；證據與信心呈現；例外分流與人工覆核；發現局部審查看不到的風險成效追蹤；完整稽核軌跡</x:v>
      </x:c>
      <x:c r="I255" s="37" t="str">
        <x:v>語意分類與實體抽取；風險／信心評分；具證據的生成與摘要；專門模型焦點：追蹤共用契約與跨服務改動</x:v>
      </x:c>
      <x:c r="J255" s="37" t="str">
        <x:v>持續監測事件，達門檻後建立案件、蒐集證據、指派責任並追蹤結案；高風險動作需人工核准</x:v>
      </x:c>
      <x:c r="K255" s="37" t="str">
        <x:v>L3 可執行／關鍵核准</x:v>
      </x:c>
      <x:c r="L255" s="37" t="str">
        <x:v>程式碼、需求、架構、測試、事件、部署、依賴、使用遙測</x:v>
      </x:c>
      <x:c r="M255" s="37" t="str">
        <x:v>GitHub/GitLab、Jira、CI/CD、APM、Kubernetes、ITSM、雲端平台</x:v>
      </x:c>
      <x:c r="N255" s="37" t="str">
        <x:v>企業軟體團隊需加速從需求到發布，同時控制技術債、可靠性與供應鏈風險。Demo：匯入一組去識別資料，觸發「追蹤共用契約與跨服務改動」，由系統提出證據、建議與下一步；使用者核准後回寫任務，最後呈現「發現局部審查看不到的風險」前後差異。</x:v>
      </x:c>
      <x:c r="O255" s="37" t="str">
        <x:v>中低</x:v>
      </x:c>
      <x:c r="P255" s="37" t="str">
        <x:v>鄰近既有能力：原有 ITSM/監控偏運維；本群聚焦軟體生命週期推理、品質與自主修復。本 App 的獨立邊界是「追蹤共用契約與跨服務改動」，主要產出為「發現局部審查看不到的風險」，不是一般登錄、查詢或看板。</x:v>
      </x:c>
      <x:c r="Q255" s="38" t="n">
        <x:v>5</x:v>
      </x:c>
      <x:c r="R255" s="38" t="n">
        <x:v>3</x:v>
      </x:c>
      <x:c r="S255" s="38" t="str">
        <x:v>P1</x:v>
      </x:c>
      <x:c r="T255" s="38" t="n">
        <x:v>7</x:v>
      </x:c>
      <x:c r="U255" s="39" t="str">
        <x:v>Wave 2 高價值套件</x:v>
      </x:c>
    </x:row>
    <x:row r="256" ht="86" customHeight="1">
      <x:c r="A256" s="36" t="str">
        <x:v>JV-252</x:v>
      </x:c>
      <x:c r="B256" s="37" t="str">
        <x:v>商業規則漂移偵測器</x:v>
      </x:c>
      <x:c r="C256" s="37" t="str">
        <x:v>軟體研發／DevOps</x:v>
      </x:c>
      <x:c r="D256" s="37" t="str">
        <x:v>程式碼品質</x:v>
      </x:c>
      <x:c r="E256" s="37" t="str">
        <x:v>研發、資訊、產品、SRE</x:v>
      </x:c>
      <x:c r="F256" s="37" t="str">
        <x:v>工程主管、開發者、測試、SRE、產品經理</x:v>
      </x:c>
      <x:c r="G256" s="37" t="str">
        <x:v>現行作法對「比對程式、規格與設定中的規則差異」多靠人工彙整、個人經驗或事後處理，難以一致追蹤，造成決策延遲與重工。</x:v>
      </x:c>
      <x:c r="H256" s="37" t="str">
        <x:v>資料／事件接入；比對程式、規格與設定中的規則差異；證據與信心呈現；例外分流與人工覆核；避免邏輯分叉成效追蹤；完整稽核軌跡</x:v>
      </x:c>
      <x:c r="I256" s="37" t="str">
        <x:v>預測與情境模擬；多目標最佳化；不確定性呈現；專門模型焦點：比對程式、規格與設定中的規則差異</x:v>
      </x:c>
      <x:c r="J256" s="37" t="str">
        <x:v>定期掃描資料與外部訊號，提出優先序與建議；經核准後同步任務與更新來源系統</x:v>
      </x:c>
      <x:c r="K256" s="37" t="str">
        <x:v>L3 可執行／關鍵核准</x:v>
      </x:c>
      <x:c r="L256" s="37" t="str">
        <x:v>程式碼、需求、架構、測試、事件、部署、依賴、使用遙測</x:v>
      </x:c>
      <x:c r="M256" s="37" t="str">
        <x:v>GitHub/GitLab、Jira、CI/CD、APM、Kubernetes、ITSM、雲端平台</x:v>
      </x:c>
      <x:c r="N256" s="37" t="str">
        <x:v>企業軟體團隊需加速從需求到發布，同時控制技術債、可靠性與供應鏈風險。Demo：匯入一組去識別資料，觸發「比對程式、規格與設定中的規則差異」，由系統提出證據、建議與下一步；使用者核准後回寫任務，最後呈現「避免邏輯分叉」前後差異。</x:v>
      </x:c>
      <x:c r="O256" s="37" t="str">
        <x:v>低</x:v>
      </x:c>
      <x:c r="P256" s="37" t="str">
        <x:v>鄰近既有能力：原有 ITSM/監控偏運維；本群聚焦軟體生命週期推理、品質與自主修復。本 App 的獨立邊界是「比對程式、規格與設定中的規則差異」，主要產出為「避免邏輯分叉」，不是一般登錄、查詢或看板。</x:v>
      </x:c>
      <x:c r="Q256" s="38" t="n">
        <x:v>5</x:v>
      </x:c>
      <x:c r="R256" s="38" t="n">
        <x:v>4</x:v>
      </x:c>
      <x:c r="S256" s="38" t="str">
        <x:v>P1</x:v>
      </x:c>
      <x:c r="T256" s="38" t="n">
        <x:v>9</x:v>
      </x:c>
      <x:c r="U256" s="39" t="str">
        <x:v>Wave 2 高價值套件</x:v>
      </x:c>
    </x:row>
    <x:row r="257" ht="86" customHeight="1">
      <x:c r="A257" s="36" t="str">
        <x:v>JV-253</x:v>
      </x:c>
      <x:c r="B257" s="37" t="str">
        <x:v>錯誤處理完整性掃描器</x:v>
      </x:c>
      <x:c r="C257" s="37" t="str">
        <x:v>軟體研發／DevOps</x:v>
      </x:c>
      <x:c r="D257" s="37" t="str">
        <x:v>程式碼品質</x:v>
      </x:c>
      <x:c r="E257" s="37" t="str">
        <x:v>研發、資訊、產品、SRE</x:v>
      </x:c>
      <x:c r="F257" s="37" t="str">
        <x:v>工程主管、開發者、測試、SRE、產品經理</x:v>
      </x:c>
      <x:c r="G257" s="37" t="str">
        <x:v>現行作法對「檢查逾時、重試、補償與冪等性缺口」多靠人工彙整、個人經驗或事後處理，難以一致追蹤，造成決策延遲與重工。</x:v>
      </x:c>
      <x:c r="H257" s="37" t="str">
        <x:v>資料／事件接入；檢查逾時、重試、補償與冪等性缺口；證據與信心呈現；例外分流與人工覆核；提高韌性成效追蹤；完整稽核軌跡</x:v>
      </x:c>
      <x:c r="I257" s="37" t="str">
        <x:v>跨文件／跨系統比對；圖譜推理；差異與缺口生成；專門模型焦點：檢查逾時、重試、補償與冪等性缺口</x:v>
      </x:c>
      <x:c r="J257" s="37" t="str">
        <x:v>以人機協作模式先產生草案與證據包，接受修改後執行核准步驟並建立完整稽核軌跡</x:v>
      </x:c>
      <x:c r="K257" s="37" t="str">
        <x:v>L3 可執行／關鍵核准</x:v>
      </x:c>
      <x:c r="L257" s="37" t="str">
        <x:v>程式碼、需求、架構、測試、事件、部署、依賴、使用遙測</x:v>
      </x:c>
      <x:c r="M257" s="37" t="str">
        <x:v>GitHub/GitLab、Jira、CI/CD、APM、Kubernetes、ITSM、雲端平台</x:v>
      </x:c>
      <x:c r="N257" s="37" t="str">
        <x:v>企業軟體團隊需加速從需求到發布，同時控制技術債、可靠性與供應鏈風險。Demo：匯入一組去識別資料，觸發「檢查逾時、重試、補償與冪等性缺口」，由系統提出證據、建議與下一步；使用者核准後回寫任務，最後呈現「提高韌性」前後差異。</x:v>
      </x:c>
      <x:c r="O257" s="37" t="str">
        <x:v>低</x:v>
      </x:c>
      <x:c r="P257" s="37" t="str">
        <x:v>鄰近既有能力：原有 ITSM/監控偏運維；本群聚焦軟體生命週期推理、品質與自主修復。本 App 的獨立邊界是「檢查逾時、重試、補償與冪等性缺口」，主要產出為「提高韌性」，不是一般登錄、查詢或看板。</x:v>
      </x:c>
      <x:c r="Q257" s="38" t="n">
        <x:v>5</x:v>
      </x:c>
      <x:c r="R257" s="38" t="n">
        <x:v>4</x:v>
      </x:c>
      <x:c r="S257" s="38" t="str">
        <x:v>P1</x:v>
      </x:c>
      <x:c r="T257" s="38" t="n">
        <x:v>9</x:v>
      </x:c>
      <x:c r="U257" s="39" t="str">
        <x:v>Wave 2 高價值套件</x:v>
      </x:c>
    </x:row>
    <x:row r="258" ht="86" customHeight="1">
      <x:c r="A258" s="36" t="str">
        <x:v>JV-254</x:v>
      </x:c>
      <x:c r="B258" s="37" t="str">
        <x:v>安全修補建議驗證器</x:v>
      </x:c>
      <x:c r="C258" s="37" t="str">
        <x:v>軟體研發／DevOps</x:v>
      </x:c>
      <x:c r="D258" s="37" t="str">
        <x:v>程式碼品質</x:v>
      </x:c>
      <x:c r="E258" s="37" t="str">
        <x:v>研發、資訊、產品、SRE</x:v>
      </x:c>
      <x:c r="F258" s="37" t="str">
        <x:v>工程主管、開發者、測試、SRE、產品經理</x:v>
      </x:c>
      <x:c r="G258" s="37" t="str">
        <x:v>現行作法對「生成修補後同時驗證行為與安全測試」多靠人工彙整、個人經驗或事後處理，難以一致追蹤，造成決策延遲與重工。</x:v>
      </x:c>
      <x:c r="H258" s="37" t="str">
        <x:v>資料／事件接入；生成修補後同時驗證行為與安全測試；證據與信心呈現；例外分流與人工覆核；降低修補副作用成效追蹤；完整稽核軌跡</x:v>
      </x:c>
      <x:c r="I258" s="37" t="str">
        <x:v>異常偵測；因果線索分析；可解釋的建議排序；專門模型焦點：生成修補後同時驗證行為與安全測試</x:v>
      </x:c>
      <x:c r="J258" s="37" t="str">
        <x:v>依目標自主規劃步驟、呼叫核准工具、遇到例外改走人工佇列，完成後驗證結果並回報</x:v>
      </x:c>
      <x:c r="K258" s="37" t="str">
        <x:v>L3 可執行／關鍵核准</x:v>
      </x:c>
      <x:c r="L258" s="37" t="str">
        <x:v>程式碼、需求、架構、測試、事件、部署、依賴、使用遙測</x:v>
      </x:c>
      <x:c r="M258" s="37" t="str">
        <x:v>GitHub/GitLab、Jira、CI/CD、APM、Kubernetes、ITSM、雲端平台</x:v>
      </x:c>
      <x:c r="N258" s="37" t="str">
        <x:v>企業軟體團隊需加速從需求到發布，同時控制技術債、可靠性與供應鏈風險。Demo：匯入一組去識別資料，觸發「生成修補後同時驗證行為與安全測試」，由系統提出證據、建議與下一步；使用者核准後回寫任務，最後呈現「降低修補副作用」前後差異。</x:v>
      </x:c>
      <x:c r="O258" s="37" t="str">
        <x:v>低</x:v>
      </x:c>
      <x:c r="P258" s="37" t="str">
        <x:v>鄰近既有能力：原有 ITSM/監控偏運維；本群聚焦軟體生命週期推理、品質與自主修復。本 App 的獨立邊界是「生成修補後同時驗證行為與安全測試」，主要產出為「降低修補副作用」，不是一般登錄、查詢或看板。</x:v>
      </x:c>
      <x:c r="Q258" s="38" t="n">
        <x:v>5</x:v>
      </x:c>
      <x:c r="R258" s="38" t="n">
        <x:v>4</x:v>
      </x:c>
      <x:c r="S258" s="38" t="str">
        <x:v>P1</x:v>
      </x:c>
      <x:c r="T258" s="38" t="n">
        <x:v>9</x:v>
      </x:c>
      <x:c r="U258" s="39" t="str">
        <x:v>Wave 2 高價值套件</x:v>
      </x:c>
    </x:row>
    <x:row r="259" ht="86" customHeight="1">
      <x:c r="A259" s="36" t="str">
        <x:v>JV-255</x:v>
      </x:c>
      <x:c r="B259" s="37" t="str">
        <x:v>程式可維護性教練</x:v>
      </x:c>
      <x:c r="C259" s="37" t="str">
        <x:v>軟體研發／DevOps</x:v>
      </x:c>
      <x:c r="D259" s="37" t="str">
        <x:v>程式碼品質</x:v>
      </x:c>
      <x:c r="E259" s="37" t="str">
        <x:v>研發、資訊、產品、SRE</x:v>
      </x:c>
      <x:c r="F259" s="37" t="str">
        <x:v>工程主管、開發者、測試、SRE、產品經理</x:v>
      </x:c>
      <x:c r="G259" s="37" t="str">
        <x:v>現行作法對「用團隊準則提出可解釋重構建議」多靠人工彙整、個人經驗或事後處理，難以一致追蹤，造成決策延遲與重工。</x:v>
      </x:c>
      <x:c r="H259" s="37" t="str">
        <x:v>資料／事件接入；用團隊準則提出可解釋重構建議；證據與信心呈現；例外分流與人工覆核；持續改善品質成效追蹤；完整稽核軌跡</x:v>
      </x:c>
      <x:c r="I259" s="37" t="str">
        <x:v>RAG 檢索與來源引用；規則＋模型混合判斷；矛盾檢查；專門模型焦點：用團隊準則提出可解釋重構建議</x:v>
      </x:c>
      <x:c r="J259" s="37" t="str">
        <x:v>與多個專業 Agent 協作拆解任務，保留交接證據、逾時升級並在失敗時安全回滾</x:v>
      </x:c>
      <x:c r="K259" s="37" t="str">
        <x:v>L2 建議／需核准</x:v>
      </x:c>
      <x:c r="L259" s="37" t="str">
        <x:v>程式碼、需求、架構、測試、事件、部署、依賴、使用遙測</x:v>
      </x:c>
      <x:c r="M259" s="37" t="str">
        <x:v>GitHub/GitLab、Jira、CI/CD、APM、Kubernetes、ITSM、雲端平台</x:v>
      </x:c>
      <x:c r="N259" s="37" t="str">
        <x:v>企業軟體團隊需加速從需求到發布，同時控制技術債、可靠性與供應鏈風險。Demo：匯入一組去識別資料，觸發「用團隊準則提出可解釋重構建議」，由系統提出證據、建議與下一步；使用者核准後回寫任務，最後呈現「持續改善品質」前後差異。</x:v>
      </x:c>
      <x:c r="O259" s="37" t="str">
        <x:v>中低</x:v>
      </x:c>
      <x:c r="P259" s="37" t="str">
        <x:v>鄰近既有能力：原有 ITSM/監控偏運維；本群聚焦軟體生命週期推理、品質與自主修復。本 App 的獨立邊界是「用團隊準則提出可解釋重構建議」，主要產出為「持續改善品質」，不是一般登錄、查詢或看板。</x:v>
      </x:c>
      <x:c r="Q259" s="38" t="n">
        <x:v>5</x:v>
      </x:c>
      <x:c r="R259" s="38" t="n">
        <x:v>5</x:v>
      </x:c>
      <x:c r="S259" s="38" t="str">
        <x:v>P1</x:v>
      </x:c>
      <x:c r="T259" s="38" t="n">
        <x:v>11</x:v>
      </x:c>
      <x:c r="U259" s="39" t="str">
        <x:v>Wave 2 高價值套件</x:v>
      </x:c>
    </x:row>
    <x:row r="260" ht="86" customHeight="1">
      <x:c r="A260" s="36" t="str">
        <x:v>JV-256</x:v>
      </x:c>
      <x:c r="B260" s="37" t="str">
        <x:v>測試缺口風險地圖</x:v>
      </x:c>
      <x:c r="C260" s="37" t="str">
        <x:v>軟體研發／DevOps</x:v>
      </x:c>
      <x:c r="D260" s="37" t="str">
        <x:v>測試智能</x:v>
      </x:c>
      <x:c r="E260" s="37" t="str">
        <x:v>研發、資訊、產品、SRE</x:v>
      </x:c>
      <x:c r="F260" s="37" t="str">
        <x:v>工程主管、開發者、測試、SRE、產品經理</x:v>
      </x:c>
      <x:c r="G260" s="37" t="str">
        <x:v>現行作法對「以變更、使用率與事故找未覆蓋高風險路徑」多靠人工彙整、個人經驗或事後處理，難以一致追蹤，造成決策延遲與重工。</x:v>
      </x:c>
      <x:c r="H260" s="37" t="str">
        <x:v>資料／事件接入；以變更、使用率與事故找未覆蓋高風險路徑；證據與信心呈現；例外分流與人工覆核；優化測試投資成效追蹤；完整稽核軌跡</x:v>
      </x:c>
      <x:c r="I260" s="37" t="str">
        <x:v>語意分類與實體抽取；風險／信心評分；具證據的生成與摘要；專門模型焦點：以變更、使用率與事故找未覆蓋高風險路徑</x:v>
      </x:c>
      <x:c r="J260" s="37" t="str">
        <x:v>持續監測事件，達門檻後建立案件、蒐集證據、指派責任並追蹤結案；高風險動作需人工核准</x:v>
      </x:c>
      <x:c r="K260" s="37" t="str">
        <x:v>L3 可執行／關鍵核准</x:v>
      </x:c>
      <x:c r="L260" s="37" t="str">
        <x:v>程式碼、需求、架構、測試、事件、部署、依賴、使用遙測</x:v>
      </x:c>
      <x:c r="M260" s="37" t="str">
        <x:v>GitHub/GitLab、Jira、CI/CD、APM、Kubernetes、ITSM、雲端平台</x:v>
      </x:c>
      <x:c r="N260" s="37" t="str">
        <x:v>企業軟體團隊需加速從需求到發布，同時控制技術債、可靠性與供應鏈風險。Demo：匯入一組去識別資料，觸發「以變更、使用率與事故找未覆蓋高風險路徑」，由系統提出證據、建議與下一步；使用者核准後回寫任務，最後呈現「優化測試投資」前後差異。</x:v>
      </x:c>
      <x:c r="O260" s="37" t="str">
        <x:v>中低</x:v>
      </x:c>
      <x:c r="P260" s="37" t="str">
        <x:v>鄰近既有能力：原有 ITSM/監控偏運維；本群聚焦軟體生命週期推理、品質與自主修復。本 App 的獨立邊界是「以變更、使用率與事故找未覆蓋高風險路徑」，主要產出為「優化測試投資」，不是一般登錄、查詢或看板。</x:v>
      </x:c>
      <x:c r="Q260" s="38" t="n">
        <x:v>5</x:v>
      </x:c>
      <x:c r="R260" s="38" t="n">
        <x:v>3</x:v>
      </x:c>
      <x:c r="S260" s="38" t="str">
        <x:v>P1</x:v>
      </x:c>
      <x:c r="T260" s="38" t="n">
        <x:v>7</x:v>
      </x:c>
      <x:c r="U260" s="39" t="str">
        <x:v>Wave 2 高價值套件</x:v>
      </x:c>
    </x:row>
    <x:row r="261" ht="86" customHeight="1">
      <x:c r="A261" s="36" t="str">
        <x:v>JV-257</x:v>
      </x:c>
      <x:c r="B261" s="37" t="str">
        <x:v>合成測試資料工廠</x:v>
      </x:c>
      <x:c r="C261" s="37" t="str">
        <x:v>軟體研發／DevOps</x:v>
      </x:c>
      <x:c r="D261" s="37" t="str">
        <x:v>測試智能</x:v>
      </x:c>
      <x:c r="E261" s="37" t="str">
        <x:v>研發、資訊、產品、SRE</x:v>
      </x:c>
      <x:c r="F261" s="37" t="str">
        <x:v>工程主管、開發者、測試、SRE、產品經理</x:v>
      </x:c>
      <x:c r="G261" s="37" t="str">
        <x:v>現行作法對「產生保留關聯與邊界的去識別資料」多靠人工彙整、個人經驗或事後處理，難以一致追蹤，造成決策延遲與重工。</x:v>
      </x:c>
      <x:c r="H261" s="37" t="str">
        <x:v>資料／事件接入；產生保留關聯與邊界的去識別資料；證據與信心呈現；例外分流與人工覆核；加速安全測試成效追蹤；完整稽核軌跡</x:v>
      </x:c>
      <x:c r="I261" s="37" t="str">
        <x:v>預測與情境模擬；多目標最佳化；不確定性呈現；專門模型焦點：產生保留關聯與邊界的去識別資料</x:v>
      </x:c>
      <x:c r="J261" s="37" t="str">
        <x:v>定期掃描資料與外部訊號，提出優先序與建議；經核准後同步任務與更新來源系統</x:v>
      </x:c>
      <x:c r="K261" s="37" t="str">
        <x:v>L3 可執行／關鍵核准</x:v>
      </x:c>
      <x:c r="L261" s="37" t="str">
        <x:v>程式碼、需求、架構、測試、事件、部署、依賴、使用遙測</x:v>
      </x:c>
      <x:c r="M261" s="37" t="str">
        <x:v>GitHub/GitLab、Jira、CI/CD、APM、Kubernetes、ITSM、雲端平台</x:v>
      </x:c>
      <x:c r="N261" s="37" t="str">
        <x:v>企業軟體團隊需加速從需求到發布，同時控制技術債、可靠性與供應鏈風險。Demo：匯入一組去識別資料，觸發「產生保留關聯與邊界的去識別資料」，由系統提出證據、建議與下一步；使用者核准後回寫任務，最後呈現「加速安全測試」前後差異。</x:v>
      </x:c>
      <x:c r="O261" s="37" t="str">
        <x:v>低</x:v>
      </x:c>
      <x:c r="P261" s="37" t="str">
        <x:v>鄰近既有能力：原有 ITSM/監控偏運維；本群聚焦軟體生命週期推理、品質與自主修復。本 App 的獨立邊界是「產生保留關聯與邊界的去識別資料」，主要產出為「加速安全測試」，不是一般登錄、查詢或看板。</x:v>
      </x:c>
      <x:c r="Q261" s="38" t="n">
        <x:v>5</x:v>
      </x:c>
      <x:c r="R261" s="38" t="n">
        <x:v>4</x:v>
      </x:c>
      <x:c r="S261" s="38" t="str">
        <x:v>P1</x:v>
      </x:c>
      <x:c r="T261" s="38" t="n">
        <x:v>9</x:v>
      </x:c>
      <x:c r="U261" s="39" t="str">
        <x:v>Wave 2 高價值套件</x:v>
      </x:c>
    </x:row>
    <x:row r="262" ht="86" customHeight="1">
      <x:c r="A262" s="36" t="str">
        <x:v>JV-258</x:v>
      </x:c>
      <x:c r="B262" s="37" t="str">
        <x:v>Flaky Test 根因獵人</x:v>
      </x:c>
      <x:c r="C262" s="37" t="str">
        <x:v>軟體研發／DevOps</x:v>
      </x:c>
      <x:c r="D262" s="37" t="str">
        <x:v>測試智能</x:v>
      </x:c>
      <x:c r="E262" s="37" t="str">
        <x:v>研發、資訊、產品、SRE</x:v>
      </x:c>
      <x:c r="F262" s="37" t="str">
        <x:v>工程主管、開發者、測試、SRE、產品經理</x:v>
      </x:c>
      <x:c r="G262" s="37" t="str">
        <x:v>現行作法對「分析時序、環境與共享狀態找不穩定原因」多靠人工彙整、個人經驗或事後處理，難以一致追蹤，造成決策延遲與重工。</x:v>
      </x:c>
      <x:c r="H262" s="37" t="str">
        <x:v>資料／事件接入；分析時序、環境與共享狀態找不穩定原因；證據與信心呈現；例外分流與人工覆核；降低 CI 噪音成效追蹤；完整稽核軌跡</x:v>
      </x:c>
      <x:c r="I262" s="37" t="str">
        <x:v>跨文件／跨系統比對；圖譜推理；差異與缺口生成；專門模型焦點：分析時序、環境與共享狀態找不穩定原因</x:v>
      </x:c>
      <x:c r="J262" s="37" t="str">
        <x:v>以人機協作模式先產生草案與證據包，接受修改後執行核准步驟並建立完整稽核軌跡</x:v>
      </x:c>
      <x:c r="K262" s="37" t="str">
        <x:v>L3 可執行／關鍵核准</x:v>
      </x:c>
      <x:c r="L262" s="37" t="str">
        <x:v>程式碼、需求、架構、測試、事件、部署、依賴、使用遙測</x:v>
      </x:c>
      <x:c r="M262" s="37" t="str">
        <x:v>GitHub/GitLab、Jira、CI/CD、APM、Kubernetes、ITSM、雲端平台</x:v>
      </x:c>
      <x:c r="N262" s="37" t="str">
        <x:v>企業軟體團隊需加速從需求到發布，同時控制技術債、可靠性與供應鏈風險。Demo：匯入一組去識別資料，觸發「分析時序、環境與共享狀態找不穩定原因」，由系統提出證據、建議與下一步；使用者核准後回寫任務，最後呈現「降低 CI 噪音」前後差異。</x:v>
      </x:c>
      <x:c r="O262" s="37" t="str">
        <x:v>低</x:v>
      </x:c>
      <x:c r="P262" s="37" t="str">
        <x:v>鄰近既有能力：原有 ITSM/監控偏運維；本群聚焦軟體生命週期推理、品質與自主修復。本 App 的獨立邊界是「分析時序、環境與共享狀態找不穩定原因」，主要產出為「降低 CI 噪音」，不是一般登錄、查詢或看板。</x:v>
      </x:c>
      <x:c r="Q262" s="38" t="n">
        <x:v>5</x:v>
      </x:c>
      <x:c r="R262" s="38" t="n">
        <x:v>4</x:v>
      </x:c>
      <x:c r="S262" s="38" t="str">
        <x:v>P1</x:v>
      </x:c>
      <x:c r="T262" s="38" t="n">
        <x:v>9</x:v>
      </x:c>
      <x:c r="U262" s="39" t="str">
        <x:v>Wave 2 高價值套件</x:v>
      </x:c>
    </x:row>
    <x:row r="263" ht="86" customHeight="1">
      <x:c r="A263" s="36" t="str">
        <x:v>JV-259</x:v>
      </x:c>
      <x:c r="B263" s="37" t="str">
        <x:v>視覺回歸語意裁判</x:v>
      </x:c>
      <x:c r="C263" s="37" t="str">
        <x:v>軟體研發／DevOps</x:v>
      </x:c>
      <x:c r="D263" s="37" t="str">
        <x:v>測試智能</x:v>
      </x:c>
      <x:c r="E263" s="37" t="str">
        <x:v>研發、資訊、產品、SRE</x:v>
      </x:c>
      <x:c r="F263" s="37" t="str">
        <x:v>工程主管、開發者、測試、SRE、產品經理</x:v>
      </x:c>
      <x:c r="G263" s="37" t="str">
        <x:v>現行作法對「區分可接受版面差異與真正功能缺陷」多靠人工彙整、個人經驗或事後處理，難以一致追蹤，造成決策延遲與重工。</x:v>
      </x:c>
      <x:c r="H263" s="37" t="str">
        <x:v>資料／事件接入；區分可接受版面差異與真正功能缺陷；證據與信心呈現；例外分流與人工覆核；減少誤報成效追蹤；完整稽核軌跡</x:v>
      </x:c>
      <x:c r="I263" s="37" t="str">
        <x:v>異常偵測；因果線索分析；可解釋的建議排序；專門模型焦點：區分可接受版面差異與真正功能缺陷</x:v>
      </x:c>
      <x:c r="J263" s="37" t="str">
        <x:v>依目標自主規劃步驟、呼叫核准工具、遇到例外改走人工佇列，完成後驗證結果並回報</x:v>
      </x:c>
      <x:c r="K263" s="37" t="str">
        <x:v>L3 可執行／關鍵核准</x:v>
      </x:c>
      <x:c r="L263" s="37" t="str">
        <x:v>程式碼、需求、架構、測試、事件、部署、依賴、使用遙測</x:v>
      </x:c>
      <x:c r="M263" s="37" t="str">
        <x:v>GitHub/GitLab、Jira、CI/CD、APM、Kubernetes、ITSM、雲端平台</x:v>
      </x:c>
      <x:c r="N263" s="37" t="str">
        <x:v>企業軟體團隊需加速從需求到發布，同時控制技術債、可靠性與供應鏈風險。Demo：匯入一組去識別資料，觸發「區分可接受版面差異與真正功能缺陷」，由系統提出證據、建議與下一步；使用者核准後回寫任務，最後呈現「減少誤報」前後差異。</x:v>
      </x:c>
      <x:c r="O263" s="37" t="str">
        <x:v>低</x:v>
      </x:c>
      <x:c r="P263" s="37" t="str">
        <x:v>鄰近既有能力：原有 ITSM/監控偏運維；本群聚焦軟體生命週期推理、品質與自主修復。本 App 的獨立邊界是「區分可接受版面差異與真正功能缺陷」，主要產出為「減少誤報」，不是一般登錄、查詢或看板。</x:v>
      </x:c>
      <x:c r="Q263" s="38" t="n">
        <x:v>5</x:v>
      </x:c>
      <x:c r="R263" s="38" t="n">
        <x:v>4</x:v>
      </x:c>
      <x:c r="S263" s="38" t="str">
        <x:v>P1</x:v>
      </x:c>
      <x:c r="T263" s="38" t="n">
        <x:v>9</x:v>
      </x:c>
      <x:c r="U263" s="39" t="str">
        <x:v>Wave 2 高價值套件</x:v>
      </x:c>
    </x:row>
    <x:row r="264" ht="86" customHeight="1">
      <x:c r="A264" s="36" t="str">
        <x:v>JV-260</x:v>
      </x:c>
      <x:c r="B264" s="37" t="str">
        <x:v>探索式測試 Copilot</x:v>
      </x:c>
      <x:c r="C264" s="37" t="str">
        <x:v>軟體研發／DevOps</x:v>
      </x:c>
      <x:c r="D264" s="37" t="str">
        <x:v>測試智能</x:v>
      </x:c>
      <x:c r="E264" s="37" t="str">
        <x:v>研發、資訊、產品、SRE</x:v>
      </x:c>
      <x:c r="F264" s="37" t="str">
        <x:v>工程主管、開發者、測試、SRE、產品經理</x:v>
      </x:c>
      <x:c r="G264" s="37" t="str">
        <x:v>現行作法對「依風險與歷史缺陷即時建議探索路徑」多靠人工彙整、個人經驗或事後處理，難以一致追蹤，造成決策延遲與重工。</x:v>
      </x:c>
      <x:c r="H264" s="37" t="str">
        <x:v>資料／事件接入；依風險與歷史缺陷即時建議探索路徑；證據與信心呈現；例外分流與人工覆核；擴大人工測試洞察成效追蹤；完整稽核軌跡</x:v>
      </x:c>
      <x:c r="I264" s="37" t="str">
        <x:v>RAG 檢索與來源引用；規則＋模型混合判斷；矛盾檢查；專門模型焦點：依風險與歷史缺陷即時建議探索路徑</x:v>
      </x:c>
      <x:c r="J264" s="37" t="str">
        <x:v>與多個專業 Agent 協作拆解任務，保留交接證據、逾時升級並在失敗時安全回滾</x:v>
      </x:c>
      <x:c r="K264" s="37" t="str">
        <x:v>L2 建議／需核准</x:v>
      </x:c>
      <x:c r="L264" s="37" t="str">
        <x:v>程式碼、需求、架構、測試、事件、部署、依賴、使用遙測</x:v>
      </x:c>
      <x:c r="M264" s="37" t="str">
        <x:v>GitHub/GitLab、Jira、CI/CD、APM、Kubernetes、ITSM、雲端平台</x:v>
      </x:c>
      <x:c r="N264" s="37" t="str">
        <x:v>企業軟體團隊需加速從需求到發布，同時控制技術債、可靠性與供應鏈風險。Demo：匯入一組去識別資料，觸發「依風險與歷史缺陷即時建議探索路徑」，由系統提出證據、建議與下一步；使用者核准後回寫任務，最後呈現「擴大人工測試洞察」前後差異。</x:v>
      </x:c>
      <x:c r="O264" s="37" t="str">
        <x:v>中低</x:v>
      </x:c>
      <x:c r="P264" s="37" t="str">
        <x:v>鄰近既有能力：原有 ITSM/監控偏運維；本群聚焦軟體生命週期推理、品質與自主修復。本 App 的獨立邊界是「依風險與歷史缺陷即時建議探索路徑」，主要產出為「擴大人工測試洞察」，不是一般登錄、查詢或看板。</x:v>
      </x:c>
      <x:c r="Q264" s="38" t="n">
        <x:v>5</x:v>
      </x:c>
      <x:c r="R264" s="38" t="n">
        <x:v>5</x:v>
      </x:c>
      <x:c r="S264" s="38" t="str">
        <x:v>P1</x:v>
      </x:c>
      <x:c r="T264" s="38" t="n">
        <x:v>11</x:v>
      </x:c>
      <x:c r="U264" s="39" t="str">
        <x:v>Wave 2 高價值套件</x:v>
      </x:c>
    </x:row>
    <x:row r="265" ht="86" customHeight="1">
      <x:c r="A265" s="36" t="str">
        <x:v>JV-261</x:v>
      </x:c>
      <x:c r="B265" s="37" t="str">
        <x:v>發布風險評分器</x:v>
      </x:c>
      <x:c r="C265" s="37" t="str">
        <x:v>軟體研發／DevOps</x:v>
      </x:c>
      <x:c r="D265" s="37" t="str">
        <x:v>發布工程</x:v>
      </x:c>
      <x:c r="E265" s="37" t="str">
        <x:v>研發、資訊、產品、SRE</x:v>
      </x:c>
      <x:c r="F265" s="37" t="str">
        <x:v>工程主管、開發者、測試、SRE、產品經理</x:v>
      </x:c>
      <x:c r="G265" s="37" t="str">
        <x:v>現行作法對「依變更、依賴、測試與流量評估發布風險」多靠人工彙整、個人經驗或事後處理，難以一致追蹤，造成決策延遲與重工。</x:v>
      </x:c>
      <x:c r="H265" s="37" t="str">
        <x:v>資料／事件接入；依變更、依賴、測試與流量評估發布風險；證據與信心呈現；例外分流與人工覆核；決定灰度策略成效追蹤；完整稽核軌跡</x:v>
      </x:c>
      <x:c r="I265" s="37" t="str">
        <x:v>語意分類與實體抽取；風險／信心評分；具證據的生成與摘要；專門模型焦點：依變更、依賴、測試與流量評估發布風險</x:v>
      </x:c>
      <x:c r="J265" s="37" t="str">
        <x:v>持續監測事件，達門檻後建立案件、蒐集證據、指派責任並追蹤結案；高風險動作需人工核准</x:v>
      </x:c>
      <x:c r="K265" s="37" t="str">
        <x:v>L3 可執行／關鍵核准</x:v>
      </x:c>
      <x:c r="L265" s="37" t="str">
        <x:v>程式碼、需求、架構、測試、事件、部署、依賴、使用遙測</x:v>
      </x:c>
      <x:c r="M265" s="37" t="str">
        <x:v>GitHub/GitLab、Jira、CI/CD、APM、Kubernetes、ITSM、雲端平台</x:v>
      </x:c>
      <x:c r="N265" s="37" t="str">
        <x:v>企業軟體團隊需加速從需求到發布，同時控制技術債、可靠性與供應鏈風險。Demo：匯入一組去識別資料，觸發「依變更、依賴、測試與流量評估發布風險」，由系統提出證據、建議與下一步；使用者核准後回寫任務，最後呈現「決定灰度策略」前後差異。</x:v>
      </x:c>
      <x:c r="O265" s="37" t="str">
        <x:v>中低</x:v>
      </x:c>
      <x:c r="P265" s="37" t="str">
        <x:v>鄰近既有能力：原有 ITSM/監控偏運維；本群聚焦軟體生命週期推理、品質與自主修復。本 App 的獨立邊界是「依變更、依賴、測試與流量評估發布風險」，主要產出為「決定灰度策略」，不是一般登錄、查詢或看板。</x:v>
      </x:c>
      <x:c r="Q265" s="38" t="n">
        <x:v>4</x:v>
      </x:c>
      <x:c r="R265" s="38" t="n">
        <x:v>3</x:v>
      </x:c>
      <x:c r="S265" s="38" t="str">
        <x:v>P1</x:v>
      </x:c>
      <x:c r="T265" s="38" t="n">
        <x:v>7</x:v>
      </x:c>
      <x:c r="U265" s="39" t="str">
        <x:v>Wave 2 高價值套件</x:v>
      </x:c>
    </x:row>
    <x:row r="266" ht="86" customHeight="1">
      <x:c r="A266" s="36" t="str">
        <x:v>JV-262</x:v>
      </x:c>
      <x:c r="B266" s="37" t="str">
        <x:v>Feature Flag 清理 Agent</x:v>
      </x:c>
      <x:c r="C266" s="37" t="str">
        <x:v>軟體研發／DevOps</x:v>
      </x:c>
      <x:c r="D266" s="37" t="str">
        <x:v>發布工程</x:v>
      </x:c>
      <x:c r="E266" s="37" t="str">
        <x:v>研發、資訊、產品、SRE</x:v>
      </x:c>
      <x:c r="F266" s="37" t="str">
        <x:v>工程主管、開發者、測試、SRE、產品經理</x:v>
      </x:c>
      <x:c r="G266" s="37" t="str">
        <x:v>現行作法對「辨識過期旗標與安全移除路徑」多靠人工彙整、個人經驗或事後處理，難以一致追蹤，造成決策延遲與重工。</x:v>
      </x:c>
      <x:c r="H266" s="37" t="str">
        <x:v>資料／事件接入；辨識過期旗標與安全移除路徑；證據與信心呈現；例外分流與人工覆核；降低分支複雜度成效追蹤；完整稽核軌跡</x:v>
      </x:c>
      <x:c r="I266" s="37" t="str">
        <x:v>預測與情境模擬；多目標最佳化；不確定性呈現；專門模型焦點：辨識過期旗標與安全移除路徑</x:v>
      </x:c>
      <x:c r="J266" s="37" t="str">
        <x:v>定期掃描資料與外部訊號，提出優先序與建議；經核准後同步任務與更新來源系統</x:v>
      </x:c>
      <x:c r="K266" s="37" t="str">
        <x:v>L3 可執行／關鍵核准</x:v>
      </x:c>
      <x:c r="L266" s="37" t="str">
        <x:v>程式碼、需求、架構、測試、事件、部署、依賴、使用遙測</x:v>
      </x:c>
      <x:c r="M266" s="37" t="str">
        <x:v>GitHub/GitLab、Jira、CI/CD、APM、Kubernetes、ITSM、雲端平台</x:v>
      </x:c>
      <x:c r="N266" s="37" t="str">
        <x:v>企業軟體團隊需加速從需求到發布，同時控制技術債、可靠性與供應鏈風險。Demo：匯入一組去識別資料，觸發「辨識過期旗標與安全移除路徑」，由系統提出證據、建議與下一步；使用者核准後回寫任務，最後呈現「降低分支複雜度」前後差異。</x:v>
      </x:c>
      <x:c r="O266" s="37" t="str">
        <x:v>低</x:v>
      </x:c>
      <x:c r="P266" s="37" t="str">
        <x:v>鄰近既有能力：原有 ITSM/監控偏運維；本群聚焦軟體生命週期推理、品質與自主修復。本 App 的獨立邊界是「辨識過期旗標與安全移除路徑」，主要產出為「降低分支複雜度」，不是一般登錄、查詢或看板。</x:v>
      </x:c>
      <x:c r="Q266" s="38" t="n">
        <x:v>5</x:v>
      </x:c>
      <x:c r="R266" s="38" t="n">
        <x:v>4</x:v>
      </x:c>
      <x:c r="S266" s="38" t="str">
        <x:v>P1</x:v>
      </x:c>
      <x:c r="T266" s="38" t="n">
        <x:v>9</x:v>
      </x:c>
      <x:c r="U266" s="39" t="str">
        <x:v>Wave 2 高價值套件</x:v>
      </x:c>
    </x:row>
    <x:row r="267" ht="86" customHeight="1">
      <x:c r="A267" s="36" t="str">
        <x:v>JV-263</x:v>
      </x:c>
      <x:c r="B267" s="37" t="str">
        <x:v>部署窗口推薦器</x:v>
      </x:c>
      <x:c r="C267" s="37" t="str">
        <x:v>軟體研發／DevOps</x:v>
      </x:c>
      <x:c r="D267" s="37" t="str">
        <x:v>發布工程</x:v>
      </x:c>
      <x:c r="E267" s="37" t="str">
        <x:v>研發、資訊、產品、SRE</x:v>
      </x:c>
      <x:c r="F267" s="37" t="str">
        <x:v>工程主管、開發者、測試、SRE、產品經理</x:v>
      </x:c>
      <x:c r="G267" s="37" t="str">
        <x:v>現行作法對「結合流量、值班、變更與商務事件選時」多靠人工彙整、個人經驗或事後處理，難以一致追蹤，造成決策延遲與重工。</x:v>
      </x:c>
      <x:c r="H267" s="37" t="str">
        <x:v>資料／事件接入；結合流量、值班、變更與商務事件選時；證據與信心呈現；例外分流與人工覆核；降低發布衝擊成效追蹤；完整稽核軌跡</x:v>
      </x:c>
      <x:c r="I267" s="37" t="str">
        <x:v>跨文件／跨系統比對；圖譜推理；差異與缺口生成；專門模型焦點：結合流量、值班、變更與商務事件選時</x:v>
      </x:c>
      <x:c r="J267" s="37" t="str">
        <x:v>以人機協作模式先產生草案與證據包，接受修改後執行核准步驟並建立完整稽核軌跡</x:v>
      </x:c>
      <x:c r="K267" s="37" t="str">
        <x:v>L3 可執行／關鍵核准</x:v>
      </x:c>
      <x:c r="L267" s="37" t="str">
        <x:v>程式碼、需求、架構、測試、事件、部署、依賴、使用遙測</x:v>
      </x:c>
      <x:c r="M267" s="37" t="str">
        <x:v>GitHub/GitLab、Jira、CI/CD、APM、Kubernetes、ITSM、雲端平台</x:v>
      </x:c>
      <x:c r="N267" s="37" t="str">
        <x:v>企業軟體團隊需加速從需求到發布，同時控制技術債、可靠性與供應鏈風險。Demo：匯入一組去識別資料，觸發「結合流量、值班、變更與商務事件選時」，由系統提出證據、建議與下一步；使用者核准後回寫任務，最後呈現「降低發布衝擊」前後差異。</x:v>
      </x:c>
      <x:c r="O267" s="37" t="str">
        <x:v>低</x:v>
      </x:c>
      <x:c r="P267" s="37" t="str">
        <x:v>鄰近既有能力：原有 ITSM/監控偏運維；本群聚焦軟體生命週期推理、品質與自主修復。本 App 的獨立邊界是「結合流量、值班、變更與商務事件選時」，主要產出為「降低發布衝擊」，不是一般登錄、查詢或看板。</x:v>
      </x:c>
      <x:c r="Q267" s="38" t="n">
        <x:v>5</x:v>
      </x:c>
      <x:c r="R267" s="38" t="n">
        <x:v>4</x:v>
      </x:c>
      <x:c r="S267" s="38" t="str">
        <x:v>P1</x:v>
      </x:c>
      <x:c r="T267" s="38" t="n">
        <x:v>9</x:v>
      </x:c>
      <x:c r="U267" s="39" t="str">
        <x:v>Wave 2 高價值套件</x:v>
      </x:c>
    </x:row>
    <x:row r="268" ht="86" customHeight="1">
      <x:c r="A268" s="36" t="str">
        <x:v>JV-264</x:v>
      </x:c>
      <x:c r="B268" s="37" t="str">
        <x:v>自動回滾決策器</x:v>
      </x:c>
      <x:c r="C268" s="37" t="str">
        <x:v>軟體研發／DevOps</x:v>
      </x:c>
      <x:c r="D268" s="37" t="str">
        <x:v>發布工程</x:v>
      </x:c>
      <x:c r="E268" s="37" t="str">
        <x:v>研發、資訊、產品、SRE</x:v>
      </x:c>
      <x:c r="F268" s="37" t="str">
        <x:v>工程主管、開發者、測試、SRE、產品經理</x:v>
      </x:c>
      <x:c r="G268" s="37" t="str">
        <x:v>現行作法對「以多指標與業務護欄判斷是否回滾」多靠人工彙整、個人經驗或事後處理，難以一致追蹤，造成決策延遲與重工。</x:v>
      </x:c>
      <x:c r="H268" s="37" t="str">
        <x:v>資料／事件接入；以多指標與業務護欄判斷是否回滾；證據與信心呈現；例外分流與人工覆核；縮短故障成效追蹤；完整稽核軌跡</x:v>
      </x:c>
      <x:c r="I268" s="37" t="str">
        <x:v>異常偵測；因果線索分析；可解釋的建議排序；專門模型焦點：以多指標與業務護欄判斷是否回滾</x:v>
      </x:c>
      <x:c r="J268" s="37" t="str">
        <x:v>依目標自主規劃步驟、呼叫核准工具、遇到例外改走人工佇列，完成後驗證結果並回報</x:v>
      </x:c>
      <x:c r="K268" s="37" t="str">
        <x:v>L3 可執行／關鍵核准</x:v>
      </x:c>
      <x:c r="L268" s="37" t="str">
        <x:v>程式碼、需求、架構、測試、事件、部署、依賴、使用遙測</x:v>
      </x:c>
      <x:c r="M268" s="37" t="str">
        <x:v>GitHub/GitLab、Jira、CI/CD、APM、Kubernetes、ITSM、雲端平台</x:v>
      </x:c>
      <x:c r="N268" s="37" t="str">
        <x:v>企業軟體團隊需加速從需求到發布，同時控制技術債、可靠性與供應鏈風險。Demo：匯入一組去識別資料，觸發「以多指標與業務護欄判斷是否回滾」，由系統提出證據、建議與下一步；使用者核准後回寫任務，最後呈現「縮短故障」前後差異。</x:v>
      </x:c>
      <x:c r="O268" s="37" t="str">
        <x:v>低</x:v>
      </x:c>
      <x:c r="P268" s="37" t="str">
        <x:v>鄰近既有能力：原有 ITSM/監控偏運維；本群聚焦軟體生命週期推理、品質與自主修復。本 App 的獨立邊界是「以多指標與業務護欄判斷是否回滾」，主要產出為「縮短故障」，不是一般登錄、查詢或看板。</x:v>
      </x:c>
      <x:c r="Q268" s="38" t="n">
        <x:v>5</x:v>
      </x:c>
      <x:c r="R268" s="38" t="n">
        <x:v>4</x:v>
      </x:c>
      <x:c r="S268" s="38" t="str">
        <x:v>P1</x:v>
      </x:c>
      <x:c r="T268" s="38" t="n">
        <x:v>9</x:v>
      </x:c>
      <x:c r="U268" s="39" t="str">
        <x:v>Wave 2 高價值套件</x:v>
      </x:c>
    </x:row>
    <x:row r="269" ht="86" customHeight="1">
      <x:c r="A269" s="36" t="str">
        <x:v>JV-265</x:v>
      </x:c>
      <x:c r="B269" s="37" t="str">
        <x:v>Release Note 影響翻譯器</x:v>
      </x:c>
      <x:c r="C269" s="37" t="str">
        <x:v>軟體研發／DevOps</x:v>
      </x:c>
      <x:c r="D269" s="37" t="str">
        <x:v>發布工程</x:v>
      </x:c>
      <x:c r="E269" s="37" t="str">
        <x:v>研發、資訊、產品、SRE</x:v>
      </x:c>
      <x:c r="F269" s="37" t="str">
        <x:v>工程主管、開發者、測試、SRE、產品經理</x:v>
      </x:c>
      <x:c r="G269" s="37" t="str">
        <x:v>現行作法對「按使用者角色將技術變更轉成影響說明」多靠人工彙整、個人經驗或事後處理，難以一致追蹤，造成決策延遲與重工。</x:v>
      </x:c>
      <x:c r="H269" s="37" t="str">
        <x:v>資料／事件接入；按使用者角色將技術變更轉成影響說明；證據與信心呈現；例外分流與人工覆核；改善溝通成效追蹤；完整稽核軌跡</x:v>
      </x:c>
      <x:c r="I269" s="37" t="str">
        <x:v>RAG 檢索與來源引用；規則＋模型混合判斷；矛盾檢查；專門模型焦點：按使用者角色將技術變更轉成影響說明</x:v>
      </x:c>
      <x:c r="J269" s="37" t="str">
        <x:v>與多個專業 Agent 協作拆解任務，保留交接證據、逾時升級並在失敗時安全回滾</x:v>
      </x:c>
      <x:c r="K269" s="37" t="str">
        <x:v>L2 建議／需核准</x:v>
      </x:c>
      <x:c r="L269" s="37" t="str">
        <x:v>程式碼、需求、架構、測試、事件、部署、依賴、使用遙測</x:v>
      </x:c>
      <x:c r="M269" s="37" t="str">
        <x:v>GitHub/GitLab、Jira、CI/CD、APM、Kubernetes、ITSM、雲端平台</x:v>
      </x:c>
      <x:c r="N269" s="37" t="str">
        <x:v>企業軟體團隊需加速從需求到發布，同時控制技術債、可靠性與供應鏈風險。Demo：匯入一組去識別資料，觸發「按使用者角色將技術變更轉成影響說明」，由系統提出證據、建議與下一步；使用者核准後回寫任務，最後呈現「改善溝通」前後差異。</x:v>
      </x:c>
      <x:c r="O269" s="37" t="str">
        <x:v>中低</x:v>
      </x:c>
      <x:c r="P269" s="37" t="str">
        <x:v>鄰近既有能力：原有 ITSM/監控偏運維；本群聚焦軟體生命週期推理、品質與自主修復。本 App 的獨立邊界是「按使用者角色將技術變更轉成影響說明」，主要產出為「改善溝通」，不是一般登錄、查詢或看板。</x:v>
      </x:c>
      <x:c r="Q269" s="38" t="n">
        <x:v>5</x:v>
      </x:c>
      <x:c r="R269" s="38" t="n">
        <x:v>5</x:v>
      </x:c>
      <x:c r="S269" s="38" t="str">
        <x:v>P1</x:v>
      </x:c>
      <x:c r="T269" s="38" t="n">
        <x:v>11</x:v>
      </x:c>
      <x:c r="U269" s="39" t="str">
        <x:v>Wave 2 高價值套件</x:v>
      </x:c>
    </x:row>
    <x:row r="270" ht="86" customHeight="1">
      <x:c r="A270" s="36" t="str">
        <x:v>JV-266</x:v>
      </x:c>
      <x:c r="B270" s="37" t="str">
        <x:v>事件初判指揮 Agent</x:v>
      </x:c>
      <x:c r="C270" s="37" t="str">
        <x:v>軟體研發／DevOps</x:v>
      </x:c>
      <x:c r="D270" s="37" t="str">
        <x:v>SRE 與事件</x:v>
      </x:c>
      <x:c r="E270" s="37" t="str">
        <x:v>研發、資訊、產品、SRE</x:v>
      </x:c>
      <x:c r="F270" s="37" t="str">
        <x:v>工程主管、開發者、測試、SRE、產品經理</x:v>
      </x:c>
      <x:c r="G270" s="37" t="str">
        <x:v>現行作法對「彙整告警、變更與拓撲提出假設及動作」多靠人工彙整、個人經驗或事後處理，難以一致追蹤，造成決策延遲與重工。</x:v>
      </x:c>
      <x:c r="H270" s="37" t="str">
        <x:v>資料／事件接入；彙整告警、變更與拓撲提出假設及動作；證據與信心呈現；例外分流與人工覆核；縮短 MTTR成效追蹤；完整稽核軌跡</x:v>
      </x:c>
      <x:c r="I270" s="37" t="str">
        <x:v>語意分類與實體抽取；風險／信心評分；具證據的生成與摘要；專門模型焦點：彙整告警、變更與拓撲提出假設及動作</x:v>
      </x:c>
      <x:c r="J270" s="37" t="str">
        <x:v>持續監測事件，達門檻後建立案件、蒐集證據、指派責任並追蹤結案；高風險動作需人工核准</x:v>
      </x:c>
      <x:c r="K270" s="37" t="str">
        <x:v>L3 可執行／關鍵核准</x:v>
      </x:c>
      <x:c r="L270" s="37" t="str">
        <x:v>程式碼、需求、架構、測試、事件、部署、依賴、使用遙測</x:v>
      </x:c>
      <x:c r="M270" s="37" t="str">
        <x:v>GitHub/GitLab、Jira、CI/CD、APM、Kubernetes、ITSM、雲端平台</x:v>
      </x:c>
      <x:c r="N270" s="37" t="str">
        <x:v>企業軟體團隊需加速從需求到發布，同時控制技術債、可靠性與供應鏈風險。Demo：匯入一組去識別資料，觸發「彙整告警、變更與拓撲提出假設及動作」，由系統提出證據、建議與下一步；使用者核准後回寫任務，最後呈現「縮短 MTTR」前後差異。</x:v>
      </x:c>
      <x:c r="O270" s="37" t="str">
        <x:v>中低</x:v>
      </x:c>
      <x:c r="P270" s="37" t="str">
        <x:v>鄰近既有能力：原有 ITSM/監控偏運維；本群聚焦軟體生命週期推理、品質與自主修復。本 App 的獨立邊界是「彙整告警、變更與拓撲提出假設及動作」，主要產出為「縮短 MTTR」，不是一般登錄、查詢或看板。</x:v>
      </x:c>
      <x:c r="Q270" s="38" t="n">
        <x:v>5</x:v>
      </x:c>
      <x:c r="R270" s="38" t="n">
        <x:v>3</x:v>
      </x:c>
      <x:c r="S270" s="38" t="str">
        <x:v>P1</x:v>
      </x:c>
      <x:c r="T270" s="38" t="n">
        <x:v>7</x:v>
      </x:c>
      <x:c r="U270" s="39" t="str">
        <x:v>Wave 2 高價值套件</x:v>
      </x:c>
    </x:row>
    <x:row r="271" ht="86" customHeight="1">
      <x:c r="A271" s="36" t="str">
        <x:v>JV-267</x:v>
      </x:c>
      <x:c r="B271" s="37" t="str">
        <x:v>告警風暴關聯器</x:v>
      </x:c>
      <x:c r="C271" s="37" t="str">
        <x:v>軟體研發／DevOps</x:v>
      </x:c>
      <x:c r="D271" s="37" t="str">
        <x:v>SRE 與事件</x:v>
      </x:c>
      <x:c r="E271" s="37" t="str">
        <x:v>研發、資訊、產品、SRE</x:v>
      </x:c>
      <x:c r="F271" s="37" t="str">
        <x:v>工程主管、開發者、測試、SRE、產品經理</x:v>
      </x:c>
      <x:c r="G271" s="37" t="str">
        <x:v>現行作法對「將同源告警聚合成可處理事件」多靠人工彙整、個人經驗或事後處理，難以一致追蹤，造成決策延遲與重工。</x:v>
      </x:c>
      <x:c r="H271" s="37" t="str">
        <x:v>資料／事件接入；將同源告警聚合成可處理事件；證據與信心呈現；例外分流與人工覆核；降低噪音成效追蹤；完整稽核軌跡</x:v>
      </x:c>
      <x:c r="I271" s="37" t="str">
        <x:v>預測與情境模擬；多目標最佳化；不確定性呈現；專門模型焦點：將同源告警聚合成可處理事件</x:v>
      </x:c>
      <x:c r="J271" s="37" t="str">
        <x:v>定期掃描資料與外部訊號，提出優先序與建議；經核准後同步任務與更新來源系統</x:v>
      </x:c>
      <x:c r="K271" s="37" t="str">
        <x:v>L3 可執行／關鍵核准</x:v>
      </x:c>
      <x:c r="L271" s="37" t="str">
        <x:v>程式碼、需求、架構、測試、事件、部署、依賴、使用遙測</x:v>
      </x:c>
      <x:c r="M271" s="37" t="str">
        <x:v>GitHub/GitLab、Jira、CI/CD、APM、Kubernetes、ITSM、雲端平台</x:v>
      </x:c>
      <x:c r="N271" s="37" t="str">
        <x:v>企業軟體團隊需加速從需求到發布，同時控制技術債、可靠性與供應鏈風險。Demo：匯入一組去識別資料，觸發「將同源告警聚合成可處理事件」，由系統提出證據、建議與下一步；使用者核准後回寫任務，最後呈現「降低噪音」前後差異。</x:v>
      </x:c>
      <x:c r="O271" s="37" t="str">
        <x:v>低</x:v>
      </x:c>
      <x:c r="P271" s="37" t="str">
        <x:v>鄰近既有能力：原有 ITSM/監控偏運維；本群聚焦軟體生命週期推理、品質與自主修復。本 App 的獨立邊界是「將同源告警聚合成可處理事件」，主要產出為「降低噪音」，不是一般登錄、查詢或看板。</x:v>
      </x:c>
      <x:c r="Q271" s="38" t="n">
        <x:v>4</x:v>
      </x:c>
      <x:c r="R271" s="38" t="n">
        <x:v>4</x:v>
      </x:c>
      <x:c r="S271" s="38" t="str">
        <x:v>P1</x:v>
      </x:c>
      <x:c r="T271" s="38" t="n">
        <x:v>9</x:v>
      </x:c>
      <x:c r="U271" s="39" t="str">
        <x:v>Wave 2 高價值套件</x:v>
      </x:c>
    </x:row>
    <x:row r="272" ht="86" customHeight="1">
      <x:c r="A272" s="36" t="str">
        <x:v>JV-268</x:v>
      </x:c>
      <x:c r="B272" s="37" t="str">
        <x:v>Runbook 自動驗證器</x:v>
      </x:c>
      <x:c r="C272" s="37" t="str">
        <x:v>軟體研發／DevOps</x:v>
      </x:c>
      <x:c r="D272" s="37" t="str">
        <x:v>SRE 與事件</x:v>
      </x:c>
      <x:c r="E272" s="37" t="str">
        <x:v>研發、資訊、產品、SRE</x:v>
      </x:c>
      <x:c r="F272" s="37" t="str">
        <x:v>工程主管、開發者、測試、SRE、產品經理</x:v>
      </x:c>
      <x:c r="G272" s="37" t="str">
        <x:v>現行作法對「定期在安全環境驗證步驟與權限仍可用」多靠人工彙整、個人經驗或事後處理，難以一致追蹤，造成決策延遲與重工。</x:v>
      </x:c>
      <x:c r="H272" s="37" t="str">
        <x:v>資料／事件接入；定期在安全環境驗證步驟與權限仍可用；證據與信心呈現；例外分流與人工覆核；避免臨時失效成效追蹤；完整稽核軌跡</x:v>
      </x:c>
      <x:c r="I272" s="37" t="str">
        <x:v>跨文件／跨系統比對；圖譜推理；差異與缺口生成；專門模型焦點：定期在安全環境驗證步驟與權限仍可用</x:v>
      </x:c>
      <x:c r="J272" s="37" t="str">
        <x:v>以人機協作模式先產生草案與證據包，接受修改後執行核准步驟並建立完整稽核軌跡</x:v>
      </x:c>
      <x:c r="K272" s="37" t="str">
        <x:v>L3 可執行／關鍵核准</x:v>
      </x:c>
      <x:c r="L272" s="37" t="str">
        <x:v>程式碼、需求、架構、測試、事件、部署、依賴、使用遙測</x:v>
      </x:c>
      <x:c r="M272" s="37" t="str">
        <x:v>GitHub/GitLab、Jira、CI/CD、APM、Kubernetes、ITSM、雲端平台</x:v>
      </x:c>
      <x:c r="N272" s="37" t="str">
        <x:v>企業軟體團隊需加速從需求到發布，同時控制技術債、可靠性與供應鏈風險。Demo：匯入一組去識別資料，觸發「定期在安全環境驗證步驟與權限仍可用」，由系統提出證據、建議與下一步；使用者核准後回寫任務，最後呈現「避免臨時失效」前後差異。</x:v>
      </x:c>
      <x:c r="O272" s="37" t="str">
        <x:v>低</x:v>
      </x:c>
      <x:c r="P272" s="37" t="str">
        <x:v>鄰近既有能力：原有 ITSM/監控偏運維；本群聚焦軟體生命週期推理、品質與自主修復。本 App 的獨立邊界是「定期在安全環境驗證步驟與權限仍可用」，主要產出為「避免臨時失效」，不是一般登錄、查詢或看板。</x:v>
      </x:c>
      <x:c r="Q272" s="38" t="n">
        <x:v>5</x:v>
      </x:c>
      <x:c r="R272" s="38" t="n">
        <x:v>4</x:v>
      </x:c>
      <x:c r="S272" s="38" t="str">
        <x:v>P1</x:v>
      </x:c>
      <x:c r="T272" s="38" t="n">
        <x:v>9</x:v>
      </x:c>
      <x:c r="U272" s="39" t="str">
        <x:v>Wave 2 高價值套件</x:v>
      </x:c>
    </x:row>
    <x:row r="273" ht="86" customHeight="1">
      <x:c r="A273" s="36" t="str">
        <x:v>JV-269</x:v>
      </x:c>
      <x:c r="B273" s="37" t="str">
        <x:v>事故時間線與復盤器</x:v>
      </x:c>
      <x:c r="C273" s="37" t="str">
        <x:v>軟體研發／DevOps</x:v>
      </x:c>
      <x:c r="D273" s="37" t="str">
        <x:v>SRE 與事件</x:v>
      </x:c>
      <x:c r="E273" s="37" t="str">
        <x:v>研發、資訊、產品、SRE</x:v>
      </x:c>
      <x:c r="F273" s="37" t="str">
        <x:v>工程主管、開發者、測試、SRE、產品經理</x:v>
      </x:c>
      <x:c r="G273" s="37" t="str">
        <x:v>現行作法對「自動重建事件、決策與系統證據」多靠人工彙整、個人經驗或事後處理，難以一致追蹤，造成決策延遲與重工。</x:v>
      </x:c>
      <x:c r="H273" s="37" t="str">
        <x:v>資料／事件接入；自動重建事件、決策與系統證據；證據與信心呈現；例外分流與人工覆核；提升學習品質成效追蹤；完整稽核軌跡</x:v>
      </x:c>
      <x:c r="I273" s="37" t="str">
        <x:v>異常偵測；因果線索分析；可解釋的建議排序；專門模型焦點：自動重建事件、決策與系統證據</x:v>
      </x:c>
      <x:c r="J273" s="37" t="str">
        <x:v>依目標自主規劃步驟、呼叫核准工具、遇到例外改走人工佇列，完成後驗證結果並回報</x:v>
      </x:c>
      <x:c r="K273" s="37" t="str">
        <x:v>L3 可執行／關鍵核准</x:v>
      </x:c>
      <x:c r="L273" s="37" t="str">
        <x:v>程式碼、需求、架構、測試、事件、部署、依賴、使用遙測</x:v>
      </x:c>
      <x:c r="M273" s="37" t="str">
        <x:v>GitHub/GitLab、Jira、CI/CD、APM、Kubernetes、ITSM、雲端平台</x:v>
      </x:c>
      <x:c r="N273" s="37" t="str">
        <x:v>企業軟體團隊需加速從需求到發布，同時控制技術債、可靠性與供應鏈風險。Demo：匯入一組去識別資料，觸發「自動重建事件、決策與系統證據」，由系統提出證據、建議與下一步；使用者核准後回寫任務，最後呈現「提升學習品質」前後差異。</x:v>
      </x:c>
      <x:c r="O273" s="37" t="str">
        <x:v>低</x:v>
      </x:c>
      <x:c r="P273" s="37" t="str">
        <x:v>鄰近既有能力：原有 ITSM/監控偏運維；本群聚焦軟體生命週期推理、品質與自主修復。本 App 的獨立邊界是「自動重建事件、決策與系統證據」，主要產出為「提升學習品質」，不是一般登錄、查詢或看板。</x:v>
      </x:c>
      <x:c r="Q273" s="38" t="n">
        <x:v>5</x:v>
      </x:c>
      <x:c r="R273" s="38" t="n">
        <x:v>4</x:v>
      </x:c>
      <x:c r="S273" s="38" t="str">
        <x:v>P1</x:v>
      </x:c>
      <x:c r="T273" s="38" t="n">
        <x:v>9</x:v>
      </x:c>
      <x:c r="U273" s="39" t="str">
        <x:v>Wave 2 高價值套件</x:v>
      </x:c>
    </x:row>
    <x:row r="274" ht="86" customHeight="1">
      <x:c r="A274" s="36" t="str">
        <x:v>JV-270</x:v>
      </x:c>
      <x:c r="B274" s="37" t="str">
        <x:v>SLO 錯誤預算調度器</x:v>
      </x:c>
      <x:c r="C274" s="37" t="str">
        <x:v>軟體研發／DevOps</x:v>
      </x:c>
      <x:c r="D274" s="37" t="str">
        <x:v>SRE 與事件</x:v>
      </x:c>
      <x:c r="E274" s="37" t="str">
        <x:v>研發、資訊、產品、SRE</x:v>
      </x:c>
      <x:c r="F274" s="37" t="str">
        <x:v>工程主管、開發者、測試、SRE、產品經理</x:v>
      </x:c>
      <x:c r="G274" s="37" t="str">
        <x:v>現行作法對「依消耗速度限制發布或提高可靠性工作」多靠人工彙整、個人經驗或事後處理，難以一致追蹤，造成決策延遲與重工。</x:v>
      </x:c>
      <x:c r="H274" s="37" t="str">
        <x:v>資料／事件接入；依消耗速度限制發布或提高可靠性工作；證據與信心呈現；例外分流與人工覆核；平衡速度與穩定成效追蹤；完整稽核軌跡</x:v>
      </x:c>
      <x:c r="I274" s="37" t="str">
        <x:v>RAG 檢索與來源引用；規則＋模型混合判斷；矛盾檢查；專門模型焦點：依消耗速度限制發布或提高可靠性工作</x:v>
      </x:c>
      <x:c r="J274" s="37" t="str">
        <x:v>與多個專業 Agent 協作拆解任務，保留交接證據、逾時升級並在失敗時安全回滾</x:v>
      </x:c>
      <x:c r="K274" s="37" t="str">
        <x:v>L2 建議／需核准</x:v>
      </x:c>
      <x:c r="L274" s="37" t="str">
        <x:v>程式碼、需求、架構、測試、事件、部署、依賴、使用遙測</x:v>
      </x:c>
      <x:c r="M274" s="37" t="str">
        <x:v>GitHub/GitLab、Jira、CI/CD、APM、Kubernetes、ITSM、雲端平台</x:v>
      </x:c>
      <x:c r="N274" s="37" t="str">
        <x:v>企業軟體團隊需加速從需求到發布，同時控制技術債、可靠性與供應鏈風險。Demo：匯入一組去識別資料，觸發「依消耗速度限制發布或提高可靠性工作」，由系統提出證據、建議與下一步；使用者核准後回寫任務，最後呈現「平衡速度與穩定」前後差異。</x:v>
      </x:c>
      <x:c r="O274" s="37" t="str">
        <x:v>中低</x:v>
      </x:c>
      <x:c r="P274" s="37" t="str">
        <x:v>鄰近既有能力：原有 ITSM/監控偏運維；本群聚焦軟體生命週期推理、品質與自主修復。本 App 的獨立邊界是「依消耗速度限制發布或提高可靠性工作」，主要產出為「平衡速度與穩定」，不是一般登錄、查詢或看板。</x:v>
      </x:c>
      <x:c r="Q274" s="38" t="n">
        <x:v>5</x:v>
      </x:c>
      <x:c r="R274" s="38" t="n">
        <x:v>5</x:v>
      </x:c>
      <x:c r="S274" s="38" t="str">
        <x:v>P1</x:v>
      </x:c>
      <x:c r="T274" s="38" t="n">
        <x:v>11</x:v>
      </x:c>
      <x:c r="U274" s="39" t="str">
        <x:v>Wave 2 高價值套件</x:v>
      </x:c>
    </x:row>
    <x:row r="275" ht="86" customHeight="1">
      <x:c r="A275" s="36" t="str">
        <x:v>JV-271</x:v>
      </x:c>
      <x:c r="B275" s="37" t="str">
        <x:v>工程環境故障排除 Agent</x:v>
      </x:c>
      <x:c r="C275" s="37" t="str">
        <x:v>軟體研發／DevOps</x:v>
      </x:c>
      <x:c r="D275" s="37" t="str">
        <x:v>開發者體驗</x:v>
      </x:c>
      <x:c r="E275" s="37" t="str">
        <x:v>研發、資訊、產品、SRE</x:v>
      </x:c>
      <x:c r="F275" s="37" t="str">
        <x:v>工程主管、開發者、測試、SRE、產品經理</x:v>
      </x:c>
      <x:c r="G275" s="37" t="str">
        <x:v>現行作法對「診斷本機、憑證、依賴與權限問題」多靠人工彙整、個人經驗或事後處理，難以一致追蹤，造成決策延遲與重工。</x:v>
      </x:c>
      <x:c r="H275" s="37" t="str">
        <x:v>資料／事件接入；診斷本機、憑證、依賴與權限問題；證據與信心呈現；例外分流與人工覆核；縮短開發阻塞成效追蹤；完整稽核軌跡</x:v>
      </x:c>
      <x:c r="I275" s="37" t="str">
        <x:v>語意分類與實體抽取；風險／信心評分；具證據的生成與摘要；專門模型焦點：診斷本機、憑證、依賴與權限問題</x:v>
      </x:c>
      <x:c r="J275" s="37" t="str">
        <x:v>持續監測事件，達門檻後建立案件、蒐集證據、指派責任並追蹤結案；高風險動作需人工核准</x:v>
      </x:c>
      <x:c r="K275" s="37" t="str">
        <x:v>L3 可執行／關鍵核准</x:v>
      </x:c>
      <x:c r="L275" s="37" t="str">
        <x:v>程式碼、需求、架構、測試、事件、部署、依賴、使用遙測</x:v>
      </x:c>
      <x:c r="M275" s="37" t="str">
        <x:v>GitHub/GitLab、Jira、CI/CD、APM、Kubernetes、ITSM、雲端平台</x:v>
      </x:c>
      <x:c r="N275" s="37" t="str">
        <x:v>企業軟體團隊需加速從需求到發布，同時控制技術債、可靠性與供應鏈風險。Demo：匯入一組去識別資料，觸發「診斷本機、憑證、依賴與權限問題」，由系統提出證據、建議與下一步；使用者核准後回寫任務，最後呈現「縮短開發阻塞」前後差異。</x:v>
      </x:c>
      <x:c r="O275" s="37" t="str">
        <x:v>中低</x:v>
      </x:c>
      <x:c r="P275" s="37" t="str">
        <x:v>鄰近既有能力：原有 ITSM/監控偏運維；本群聚焦軟體生命週期推理、品質與自主修復。本 App 的獨立邊界是「診斷本機、憑證、依賴與權限問題」，主要產出為「縮短開發阻塞」，不是一般登錄、查詢或看板。</x:v>
      </x:c>
      <x:c r="Q275" s="38" t="n">
        <x:v>5</x:v>
      </x:c>
      <x:c r="R275" s="38" t="n">
        <x:v>3</x:v>
      </x:c>
      <x:c r="S275" s="38" t="str">
        <x:v>P1</x:v>
      </x:c>
      <x:c r="T275" s="38" t="n">
        <x:v>7</x:v>
      </x:c>
      <x:c r="U275" s="39" t="str">
        <x:v>Wave 2 高價值套件</x:v>
      </x:c>
    </x:row>
    <x:row r="276" ht="86" customHeight="1">
      <x:c r="A276" s="36" t="str">
        <x:v>JV-272</x:v>
      </x:c>
      <x:c r="B276" s="37" t="str">
        <x:v>內部 API 使用教練</x:v>
      </x:c>
      <x:c r="C276" s="37" t="str">
        <x:v>軟體研發／DevOps</x:v>
      </x:c>
      <x:c r="D276" s="37" t="str">
        <x:v>開發者體驗</x:v>
      </x:c>
      <x:c r="E276" s="37" t="str">
        <x:v>研發、資訊、產品、SRE</x:v>
      </x:c>
      <x:c r="F276" s="37" t="str">
        <x:v>工程主管、開發者、測試、SRE、產品經理</x:v>
      </x:c>
      <x:c r="G276" s="37" t="str">
        <x:v>現行作法對「依情境提供範例並驗證契約與權限」多靠人工彙整、個人經驗或事後處理，難以一致追蹤，造成決策延遲與重工。</x:v>
      </x:c>
      <x:c r="H276" s="37" t="str">
        <x:v>資料／事件接入；依情境提供範例並驗證契約與權限；證據與信心呈現；例外分流與人工覆核；降低整合時間成效追蹤；完整稽核軌跡</x:v>
      </x:c>
      <x:c r="I276" s="37" t="str">
        <x:v>預測與情境模擬；多目標最佳化；不確定性呈現；專門模型焦點：依情境提供範例並驗證契約與權限</x:v>
      </x:c>
      <x:c r="J276" s="37" t="str">
        <x:v>定期掃描資料與外部訊號，提出優先序與建議；經核准後同步任務與更新來源系統</x:v>
      </x:c>
      <x:c r="K276" s="37" t="str">
        <x:v>L3 可執行／關鍵核准</x:v>
      </x:c>
      <x:c r="L276" s="37" t="str">
        <x:v>程式碼、需求、架構、測試、事件、部署、依賴、使用遙測</x:v>
      </x:c>
      <x:c r="M276" s="37" t="str">
        <x:v>GitHub/GitLab、Jira、CI/CD、APM、Kubernetes、ITSM、雲端平台</x:v>
      </x:c>
      <x:c r="N276" s="37" t="str">
        <x:v>企業軟體團隊需加速從需求到發布，同時控制技術債、可靠性與供應鏈風險。Demo：匯入一組去識別資料，觸發「依情境提供範例並驗證契約與權限」，由系統提出證據、建議與下一步；使用者核准後回寫任務，最後呈現「降低整合時間」前後差異。</x:v>
      </x:c>
      <x:c r="O276" s="37" t="str">
        <x:v>低</x:v>
      </x:c>
      <x:c r="P276" s="37" t="str">
        <x:v>鄰近既有能力：原有 ITSM/監控偏運維；本群聚焦軟體生命週期推理、品質與自主修復。本 App 的獨立邊界是「依情境提供範例並驗證契約與權限」，主要產出為「降低整合時間」，不是一般登錄、查詢或看板。</x:v>
      </x:c>
      <x:c r="Q276" s="38" t="n">
        <x:v>5</x:v>
      </x:c>
      <x:c r="R276" s="38" t="n">
        <x:v>4</x:v>
      </x:c>
      <x:c r="S276" s="38" t="str">
        <x:v>P1</x:v>
      </x:c>
      <x:c r="T276" s="38" t="n">
        <x:v>9</x:v>
      </x:c>
      <x:c r="U276" s="39" t="str">
        <x:v>Wave 2 高價值套件</x:v>
      </x:c>
    </x:row>
    <x:row r="277" ht="86" customHeight="1">
      <x:c r="A277" s="36" t="str">
        <x:v>JV-273</x:v>
      </x:c>
      <x:c r="B277" s="37" t="str">
        <x:v>開發流程摩擦分析器</x:v>
      </x:c>
      <x:c r="C277" s="37" t="str">
        <x:v>軟體研發／DevOps</x:v>
      </x:c>
      <x:c r="D277" s="37" t="str">
        <x:v>開發者體驗</x:v>
      </x:c>
      <x:c r="E277" s="37" t="str">
        <x:v>研發、資訊、產品、SRE</x:v>
      </x:c>
      <x:c r="F277" s="37" t="str">
        <x:v>工程主管、開發者、測試、SRE、產品經理</x:v>
      </x:c>
      <x:c r="G277" s="37" t="str">
        <x:v>現行作法對「從等待、重跑與切換找出效率瓶頸」多靠人工彙整、個人經驗或事後處理，難以一致追蹤，造成決策延遲與重工。</x:v>
      </x:c>
      <x:c r="H277" s="37" t="str">
        <x:v>資料／事件接入；從等待、重跑與切換找出效率瓶頸；證據與信心呈現；例外分流與人工覆核；改善平台體驗成效追蹤；完整稽核軌跡</x:v>
      </x:c>
      <x:c r="I277" s="37" t="str">
        <x:v>跨文件／跨系統比對；圖譜推理；差異與缺口生成；專門模型焦點：從等待、重跑與切換找出效率瓶頸</x:v>
      </x:c>
      <x:c r="J277" s="37" t="str">
        <x:v>以人機協作模式先產生草案與證據包，接受修改後執行核准步驟並建立完整稽核軌跡</x:v>
      </x:c>
      <x:c r="K277" s="37" t="str">
        <x:v>L3 可執行／關鍵核准</x:v>
      </x:c>
      <x:c r="L277" s="37" t="str">
        <x:v>程式碼、需求、架構、測試、事件、部署、依賴、使用遙測</x:v>
      </x:c>
      <x:c r="M277" s="37" t="str">
        <x:v>GitHub/GitLab、Jira、CI/CD、APM、Kubernetes、ITSM、雲端平台</x:v>
      </x:c>
      <x:c r="N277" s="37" t="str">
        <x:v>企業軟體團隊需加速從需求到發布，同時控制技術債、可靠性與供應鏈風險。Demo：匯入一組去識別資料，觸發「從等待、重跑與切換找出效率瓶頸」，由系統提出證據、建議與下一步；使用者核准後回寫任務，最後呈現「改善平台體驗」前後差異。</x:v>
      </x:c>
      <x:c r="O277" s="37" t="str">
        <x:v>低</x:v>
      </x:c>
      <x:c r="P277" s="37" t="str">
        <x:v>鄰近既有能力：原有 ITSM/監控偏運維；本群聚焦軟體生命週期推理、品質與自主修復。本 App 的獨立邊界是「從等待、重跑與切換找出效率瓶頸」，主要產出為「改善平台體驗」，不是一般登錄、查詢或看板。</x:v>
      </x:c>
      <x:c r="Q277" s="38" t="n">
        <x:v>4</x:v>
      </x:c>
      <x:c r="R277" s="38" t="n">
        <x:v>4</x:v>
      </x:c>
      <x:c r="S277" s="38" t="str">
        <x:v>P1</x:v>
      </x:c>
      <x:c r="T277" s="38" t="n">
        <x:v>9</x:v>
      </x:c>
      <x:c r="U277" s="39" t="str">
        <x:v>Wave 2 高價值套件</x:v>
      </x:c>
    </x:row>
    <x:row r="278" ht="86" customHeight="1">
      <x:c r="A278" s="36" t="str">
        <x:v>JV-274</x:v>
      </x:c>
      <x:c r="B278" s="37" t="str">
        <x:v>程式知識接班助手</x:v>
      </x:c>
      <x:c r="C278" s="37" t="str">
        <x:v>軟體研發／DevOps</x:v>
      </x:c>
      <x:c r="D278" s="37" t="str">
        <x:v>開發者體驗</x:v>
      </x:c>
      <x:c r="E278" s="37" t="str">
        <x:v>研發、資訊、產品、SRE</x:v>
      </x:c>
      <x:c r="F278" s="37" t="str">
        <x:v>工程主管、開發者、測試、SRE、產品經理</x:v>
      </x:c>
      <x:c r="G278" s="37" t="str">
        <x:v>現行作法對「把修改歷史、設計與專家脈絡整合回答」多靠人工彙整、個人經驗或事後處理，難以一致追蹤，造成決策延遲與重工。</x:v>
      </x:c>
      <x:c r="H278" s="37" t="str">
        <x:v>資料／事件接入；把修改歷史、設計與專家脈絡整合回答；證據與信心呈現；例外分流與人工覆核；降低關鍵人依賴成效追蹤；完整稽核軌跡</x:v>
      </x:c>
      <x:c r="I278" s="37" t="str">
        <x:v>異常偵測；因果線索分析；可解釋的建議排序；專門模型焦點：把修改歷史、設計與專家脈絡整合回答</x:v>
      </x:c>
      <x:c r="J278" s="37" t="str">
        <x:v>依目標自主規劃步驟、呼叫核准工具、遇到例外改走人工佇列，完成後驗證結果並回報</x:v>
      </x:c>
      <x:c r="K278" s="37" t="str">
        <x:v>L3 可執行／關鍵核准</x:v>
      </x:c>
      <x:c r="L278" s="37" t="str">
        <x:v>程式碼、需求、架構、測試、事件、部署、依賴、使用遙測</x:v>
      </x:c>
      <x:c r="M278" s="37" t="str">
        <x:v>GitHub/GitLab、Jira、CI/CD、APM、Kubernetes、ITSM、雲端平台</x:v>
      </x:c>
      <x:c r="N278" s="37" t="str">
        <x:v>企業軟體團隊需加速從需求到發布，同時控制技術債、可靠性與供應鏈風險。Demo：匯入一組去識別資料，觸發「把修改歷史、設計與專家脈絡整合回答」，由系統提出證據、建議與下一步；使用者核准後回寫任務，最後呈現「降低關鍵人依賴」前後差異。</x:v>
      </x:c>
      <x:c r="O278" s="37" t="str">
        <x:v>低</x:v>
      </x:c>
      <x:c r="P278" s="37" t="str">
        <x:v>鄰近既有能力：原有 ITSM/監控偏運維；本群聚焦軟體生命週期推理、品質與自主修復。本 App 的獨立邊界是「把修改歷史、設計與專家脈絡整合回答」，主要產出為「降低關鍵人依賴」，不是一般登錄、查詢或看板。</x:v>
      </x:c>
      <x:c r="Q278" s="38" t="n">
        <x:v>5</x:v>
      </x:c>
      <x:c r="R278" s="38" t="n">
        <x:v>4</x:v>
      </x:c>
      <x:c r="S278" s="38" t="str">
        <x:v>P1</x:v>
      </x:c>
      <x:c r="T278" s="38" t="n">
        <x:v>9</x:v>
      </x:c>
      <x:c r="U278" s="39" t="str">
        <x:v>Wave 2 高價值套件</x:v>
      </x:c>
    </x:row>
    <x:row r="279" ht="86" customHeight="1">
      <x:c r="A279" s="36" t="str">
        <x:v>JV-275</x:v>
      </x:c>
      <x:c r="B279" s="37" t="str">
        <x:v>工程技能路徑推薦器</x:v>
      </x:c>
      <x:c r="C279" s="37" t="str">
        <x:v>軟體研發／DevOps</x:v>
      </x:c>
      <x:c r="D279" s="37" t="str">
        <x:v>開發者體驗</x:v>
      </x:c>
      <x:c r="E279" s="37" t="str">
        <x:v>研發、資訊、產品、SRE</x:v>
      </x:c>
      <x:c r="F279" s="37" t="str">
        <x:v>工程主管、開發者、測試、SRE、產品經理</x:v>
      </x:c>
      <x:c r="G279" s="37" t="str">
        <x:v>現行作法對「依程式碼與任務缺口推薦實作型學習」多靠人工彙整、個人經驗或事後處理，難以一致追蹤，造成決策延遲與重工。</x:v>
      </x:c>
      <x:c r="H279" s="37" t="str">
        <x:v>資料／事件接入；依程式碼與任務缺口推薦實作型學習；證據與信心呈現；例外分流與人工覆核；貼近工作成長成效追蹤；完整稽核軌跡</x:v>
      </x:c>
      <x:c r="I279" s="37" t="str">
        <x:v>RAG 檢索與來源引用；規則＋模型混合判斷；矛盾檢查；專門模型焦點：依程式碼與任務缺口推薦實作型學習</x:v>
      </x:c>
      <x:c r="J279" s="37" t="str">
        <x:v>與多個專業 Agent 協作拆解任務，保留交接證據、逾時升級並在失敗時安全回滾</x:v>
      </x:c>
      <x:c r="K279" s="37" t="str">
        <x:v>L2 建議／需核准</x:v>
      </x:c>
      <x:c r="L279" s="37" t="str">
        <x:v>程式碼、需求、架構、測試、事件、部署、依賴、使用遙測</x:v>
      </x:c>
      <x:c r="M279" s="37" t="str">
        <x:v>GitHub/GitLab、Jira、CI/CD、APM、Kubernetes、ITSM、雲端平台</x:v>
      </x:c>
      <x:c r="N279" s="37" t="str">
        <x:v>企業軟體團隊需加速從需求到發布，同時控制技術債、可靠性與供應鏈風險。Demo：匯入一組去識別資料，觸發「依程式碼與任務缺口推薦實作型學習」，由系統提出證據、建議與下一步；使用者核准後回寫任務，最後呈現「貼近工作成長」前後差異。</x:v>
      </x:c>
      <x:c r="O279" s="37" t="str">
        <x:v>中低</x:v>
      </x:c>
      <x:c r="P279" s="37" t="str">
        <x:v>鄰近既有能力：原有 ITSM/監控偏運維；本群聚焦軟體生命週期推理、品質與自主修復。本 App 的獨立邊界是「依程式碼與任務缺口推薦實作型學習」，主要產出為「貼近工作成長」，不是一般登錄、查詢或看板。</x:v>
      </x:c>
      <x:c r="Q279" s="38" t="n">
        <x:v>5</x:v>
      </x:c>
      <x:c r="R279" s="38" t="n">
        <x:v>5</x:v>
      </x:c>
      <x:c r="S279" s="38" t="str">
        <x:v>P1</x:v>
      </x:c>
      <x:c r="T279" s="38" t="n">
        <x:v>11</x:v>
      </x:c>
      <x:c r="U279" s="39" t="str">
        <x:v>Wave 2 高價值套件</x:v>
      </x:c>
    </x:row>
    <x:row r="280" ht="86" customHeight="1">
      <x:c r="A280" s="36" t="str">
        <x:v>JV-276</x:v>
      </x:c>
      <x:c r="B280" s="37" t="str">
        <x:v>SBOM 影響優先器</x:v>
      </x:c>
      <x:c r="C280" s="37" t="str">
        <x:v>軟體研發／DevOps</x:v>
      </x:c>
      <x:c r="D280" s="37" t="str">
        <x:v>軟體供應鏈</x:v>
      </x:c>
      <x:c r="E280" s="37" t="str">
        <x:v>研發、資訊、產品、SRE</x:v>
      </x:c>
      <x:c r="F280" s="37" t="str">
        <x:v>工程主管、開發者、測試、SRE、產品經理</x:v>
      </x:c>
      <x:c r="G280" s="37" t="str">
        <x:v>現行作法對「依可達性、暴露面與業務重要度排序弱點」多靠人工彙整、個人經驗或事後處理，難以一致追蹤，造成決策延遲與重工。</x:v>
      </x:c>
      <x:c r="H280" s="37" t="str">
        <x:v>資料／事件接入；依可達性、暴露面與業務重要度排序弱點；證據與信心呈現；例外分流與人工覆核；避免只看 CVSS成效追蹤；完整稽核軌跡</x:v>
      </x:c>
      <x:c r="I280" s="37" t="str">
        <x:v>語意分類與實體抽取；風險／信心評分；具證據的生成與摘要；專門模型焦點：依可達性、暴露面與業務重要度排序弱點</x:v>
      </x:c>
      <x:c r="J280" s="37" t="str">
        <x:v>持續監測事件，達門檻後建立案件、蒐集證據、指派責任並追蹤結案；高風險動作需人工核准</x:v>
      </x:c>
      <x:c r="K280" s="37" t="str">
        <x:v>L3 可執行／關鍵核准</x:v>
      </x:c>
      <x:c r="L280" s="37" t="str">
        <x:v>程式碼、需求、架構、測試、事件、部署、依賴、使用遙測</x:v>
      </x:c>
      <x:c r="M280" s="37" t="str">
        <x:v>GitHub/GitLab、Jira、CI/CD、APM、Kubernetes、ITSM、雲端平台</x:v>
      </x:c>
      <x:c r="N280" s="37" t="str">
        <x:v>企業軟體團隊需加速從需求到發布，同時控制技術債、可靠性與供應鏈風險。Demo：匯入一組去識別資料，觸發「依可達性、暴露面與業務重要度排序弱點」，由系統提出證據、建議與下一步；使用者核准後回寫任務，最後呈現「避免只看 CVSS」前後差異。</x:v>
      </x:c>
      <x:c r="O280" s="37" t="str">
        <x:v>中低</x:v>
      </x:c>
      <x:c r="P280" s="37" t="str">
        <x:v>鄰近既有能力：原有 ITSM/監控偏運維；本群聚焦軟體生命週期推理、品質與自主修復。本 App 的獨立邊界是「依可達性、暴露面與業務重要度排序弱點」，主要產出為「避免只看 CVSS」，不是一般登錄、查詢或看板。</x:v>
      </x:c>
      <x:c r="Q280" s="38" t="n">
        <x:v>5</x:v>
      </x:c>
      <x:c r="R280" s="38" t="n">
        <x:v>3</x:v>
      </x:c>
      <x:c r="S280" s="38" t="str">
        <x:v>P1</x:v>
      </x:c>
      <x:c r="T280" s="38" t="n">
        <x:v>7</x:v>
      </x:c>
      <x:c r="U280" s="39" t="str">
        <x:v>Wave 2 高價值套件</x:v>
      </x:c>
    </x:row>
    <x:row r="281" ht="86" customHeight="1">
      <x:c r="A281" s="36" t="str">
        <x:v>JV-277</x:v>
      </x:c>
      <x:c r="B281" s="37" t="str">
        <x:v>依賴升級相容性 Agent</x:v>
      </x:c>
      <x:c r="C281" s="37" t="str">
        <x:v>軟體研發／DevOps</x:v>
      </x:c>
      <x:c r="D281" s="37" t="str">
        <x:v>軟體供應鏈</x:v>
      </x:c>
      <x:c r="E281" s="37" t="str">
        <x:v>研發、資訊、產品、SRE</x:v>
      </x:c>
      <x:c r="F281" s="37" t="str">
        <x:v>工程主管、開發者、測試、SRE、產品經理</x:v>
      </x:c>
      <x:c r="G281" s="37" t="str">
        <x:v>現行作法對「模擬 API 變更並產生遷移與測試計畫」多靠人工彙整、個人經驗或事後處理，難以一致追蹤，造成決策延遲與重工。</x:v>
      </x:c>
      <x:c r="H281" s="37" t="str">
        <x:v>資料／事件接入；模擬 API 變更並產生遷移與測試計畫；證據與信心呈現；例外分流與人工覆核；加速安全升級成效追蹤；完整稽核軌跡</x:v>
      </x:c>
      <x:c r="I281" s="37" t="str">
        <x:v>預測與情境模擬；多目標最佳化；不確定性呈現；專門模型焦點：模擬 API 變更並產生遷移與測試計畫</x:v>
      </x:c>
      <x:c r="J281" s="37" t="str">
        <x:v>定期掃描資料與外部訊號，提出優先序與建議；經核准後同步任務與更新來源系統</x:v>
      </x:c>
      <x:c r="K281" s="37" t="str">
        <x:v>L3 可執行／關鍵核准</x:v>
      </x:c>
      <x:c r="L281" s="37" t="str">
        <x:v>程式碼、需求、架構、測試、事件、部署、依賴、使用遙測</x:v>
      </x:c>
      <x:c r="M281" s="37" t="str">
        <x:v>GitHub/GitLab、Jira、CI/CD、APM、Kubernetes、ITSM、雲端平台</x:v>
      </x:c>
      <x:c r="N281" s="37" t="str">
        <x:v>企業軟體團隊需加速從需求到發布，同時控制技術債、可靠性與供應鏈風險。Demo：匯入一組去識別資料，觸發「模擬 API 變更並產生遷移與測試計畫」，由系統提出證據、建議與下一步；使用者核准後回寫任務，最後呈現「加速安全升級」前後差異。</x:v>
      </x:c>
      <x:c r="O281" s="37" t="str">
        <x:v>低</x:v>
      </x:c>
      <x:c r="P281" s="37" t="str">
        <x:v>鄰近既有能力：原有 ITSM/監控偏運維；本群聚焦軟體生命週期推理、品質與自主修復。本 App 的獨立邊界是「模擬 API 變更並產生遷移與測試計畫」，主要產出為「加速安全升級」，不是一般登錄、查詢或看板。</x:v>
      </x:c>
      <x:c r="Q281" s="38" t="n">
        <x:v>5</x:v>
      </x:c>
      <x:c r="R281" s="38" t="n">
        <x:v>4</x:v>
      </x:c>
      <x:c r="S281" s="38" t="str">
        <x:v>P1</x:v>
      </x:c>
      <x:c r="T281" s="38" t="n">
        <x:v>9</x:v>
      </x:c>
      <x:c r="U281" s="39" t="str">
        <x:v>Wave 2 高價值套件</x:v>
      </x:c>
    </x:row>
    <x:row r="282" ht="86" customHeight="1">
      <x:c r="A282" s="36" t="str">
        <x:v>JV-278</x:v>
      </x:c>
      <x:c r="B282" s="37" t="str">
        <x:v>開源授權義務映射器</x:v>
      </x:c>
      <x:c r="C282" s="37" t="str">
        <x:v>軟體研發／DevOps</x:v>
      </x:c>
      <x:c r="D282" s="37" t="str">
        <x:v>軟體供應鏈</x:v>
      </x:c>
      <x:c r="E282" s="37" t="str">
        <x:v>研發、資訊、產品、SRE</x:v>
      </x:c>
      <x:c r="F282" s="37" t="str">
        <x:v>工程主管、開發者、測試、SRE、產品經理</x:v>
      </x:c>
      <x:c r="G282" s="37" t="str">
        <x:v>現行作法對「將套件授權映射到產品分發方式」多靠人工彙整、個人經驗或事後處理，難以一致追蹤，造成決策延遲與重工。</x:v>
      </x:c>
      <x:c r="H282" s="37" t="str">
        <x:v>資料／事件接入；將套件授權映射到產品分發方式；證據與信心呈現；例外分流與人工覆核；降低合規風險成效追蹤；完整稽核軌跡</x:v>
      </x:c>
      <x:c r="I282" s="37" t="str">
        <x:v>跨文件／跨系統比對；圖譜推理；差異與缺口生成；專門模型焦點：將套件授權映射到產品分發方式</x:v>
      </x:c>
      <x:c r="J282" s="37" t="str">
        <x:v>以人機協作模式先產生草案與證據包，接受修改後執行核准步驟並建立完整稽核軌跡</x:v>
      </x:c>
      <x:c r="K282" s="37" t="str">
        <x:v>L3 可執行／關鍵核准</x:v>
      </x:c>
      <x:c r="L282" s="37" t="str">
        <x:v>程式碼、需求、架構、測試、事件、部署、依賴、使用遙測</x:v>
      </x:c>
      <x:c r="M282" s="37" t="str">
        <x:v>GitHub/GitLab、Jira、CI/CD、APM、Kubernetes、ITSM、雲端平台</x:v>
      </x:c>
      <x:c r="N282" s="37" t="str">
        <x:v>企業軟體團隊需加速從需求到發布，同時控制技術債、可靠性與供應鏈風險。Demo：匯入一組去識別資料，觸發「將套件授權映射到產品分發方式」，由系統提出證據、建議與下一步；使用者核准後回寫任務，最後呈現「降低合規風險」前後差異。</x:v>
      </x:c>
      <x:c r="O282" s="37" t="str">
        <x:v>低</x:v>
      </x:c>
      <x:c r="P282" s="37" t="str">
        <x:v>鄰近既有能力：原有 ITSM/監控偏運維；本群聚焦軟體生命週期推理、品質與自主修復。本 App 的獨立邊界是「將套件授權映射到產品分發方式」，主要產出為「降低合規風險」，不是一般登錄、查詢或看板。</x:v>
      </x:c>
      <x:c r="Q282" s="38" t="n">
        <x:v>5</x:v>
      </x:c>
      <x:c r="R282" s="38" t="n">
        <x:v>4</x:v>
      </x:c>
      <x:c r="S282" s="38" t="str">
        <x:v>P1</x:v>
      </x:c>
      <x:c r="T282" s="38" t="n">
        <x:v>9</x:v>
      </x:c>
      <x:c r="U282" s="39" t="str">
        <x:v>Wave 2 高價值套件</x:v>
      </x:c>
    </x:row>
    <x:row r="283" ht="86" customHeight="1">
      <x:c r="A283" s="36" t="str">
        <x:v>JV-279</x:v>
      </x:c>
      <x:c r="B283" s="37" t="str">
        <x:v>建置來源證明驗證器</x:v>
      </x:c>
      <x:c r="C283" s="37" t="str">
        <x:v>軟體研發／DevOps</x:v>
      </x:c>
      <x:c r="D283" s="37" t="str">
        <x:v>軟體供應鏈</x:v>
      </x:c>
      <x:c r="E283" s="37" t="str">
        <x:v>研發、資訊、產品、SRE</x:v>
      </x:c>
      <x:c r="F283" s="37" t="str">
        <x:v>工程主管、開發者、測試、SRE、產品經理</x:v>
      </x:c>
      <x:c r="G283" s="37" t="str">
        <x:v>現行作法對「驗證提交、建置器、簽章與產物鏈」多靠人工彙整、個人經驗或事後處理，難以一致追蹤，造成決策延遲與重工。</x:v>
      </x:c>
      <x:c r="H283" s="37" t="str">
        <x:v>資料／事件接入；驗證提交、建置器、簽章與產物鏈；證據與信心呈現；例外分流與人工覆核；防止供應鏈竄改成效追蹤；完整稽核軌跡</x:v>
      </x:c>
      <x:c r="I283" s="37" t="str">
        <x:v>異常偵測；因果線索分析；可解釋的建議排序；專門模型焦點：驗證提交、建置器、簽章與產物鏈</x:v>
      </x:c>
      <x:c r="J283" s="37" t="str">
        <x:v>依目標自主規劃步驟、呼叫核准工具、遇到例外改走人工佇列，完成後驗證結果並回報</x:v>
      </x:c>
      <x:c r="K283" s="37" t="str">
        <x:v>L3 可執行／關鍵核准</x:v>
      </x:c>
      <x:c r="L283" s="37" t="str">
        <x:v>程式碼、需求、架構、測試、事件、部署、依賴、使用遙測</x:v>
      </x:c>
      <x:c r="M283" s="37" t="str">
        <x:v>GitHub/GitLab、Jira、CI/CD、APM、Kubernetes、ITSM、雲端平台</x:v>
      </x:c>
      <x:c r="N283" s="37" t="str">
        <x:v>企業軟體團隊需加速從需求到發布，同時控制技術債、可靠性與供應鏈風險。Demo：匯入一組去識別資料，觸發「驗證提交、建置器、簽章與產物鏈」，由系統提出證據、建議與下一步；使用者核准後回寫任務，最後呈現「防止供應鏈竄改」前後差異。</x:v>
      </x:c>
      <x:c r="O283" s="37" t="str">
        <x:v>低</x:v>
      </x:c>
      <x:c r="P283" s="37" t="str">
        <x:v>鄰近既有能力：原有 ITSM/監控偏運維；本群聚焦軟體生命週期推理、品質與自主修復。本 App 的獨立邊界是「驗證提交、建置器、簽章與產物鏈」，主要產出為「防止供應鏈竄改」，不是一般登錄、查詢或看板。</x:v>
      </x:c>
      <x:c r="Q283" s="38" t="n">
        <x:v>4</x:v>
      </x:c>
      <x:c r="R283" s="38" t="n">
        <x:v>4</x:v>
      </x:c>
      <x:c r="S283" s="38" t="str">
        <x:v>P1</x:v>
      </x:c>
      <x:c r="T283" s="38" t="n">
        <x:v>9</x:v>
      </x:c>
      <x:c r="U283" s="39" t="str">
        <x:v>Wave 2 高價值套件</x:v>
      </x:c>
    </x:row>
    <x:row r="284" ht="86" customHeight="1">
      <x:c r="A284" s="36" t="str">
        <x:v>JV-280</x:v>
      </x:c>
      <x:c r="B284" s="37" t="str">
        <x:v>秘密金鑰暴露追蹤器</x:v>
      </x:c>
      <x:c r="C284" s="37" t="str">
        <x:v>軟體研發／DevOps</x:v>
      </x:c>
      <x:c r="D284" s="37" t="str">
        <x:v>軟體供應鏈</x:v>
      </x:c>
      <x:c r="E284" s="37" t="str">
        <x:v>研發、資訊、產品、SRE</x:v>
      </x:c>
      <x:c r="F284" s="37" t="str">
        <x:v>工程主管、開發者、測試、SRE、產品經理</x:v>
      </x:c>
      <x:c r="G284" s="37" t="str">
        <x:v>現行作法對「從提交到日誌追蹤外洩範圍並協調輪替」多靠人工彙整、個人經驗或事後處理，難以一致追蹤，造成決策延遲與重工。</x:v>
      </x:c>
      <x:c r="H284" s="37" t="str">
        <x:v>資料／事件接入；從提交到日誌追蹤外洩範圍並協調輪替；證據與信心呈現；例外分流與人工覆核；縮短修復成效追蹤；完整稽核軌跡</x:v>
      </x:c>
      <x:c r="I284" s="37" t="str">
        <x:v>RAG 檢索與來源引用；規則＋模型混合判斷；矛盾檢查；專門模型焦點：從提交到日誌追蹤外洩範圍並協調輪替</x:v>
      </x:c>
      <x:c r="J284" s="37" t="str">
        <x:v>與多個專業 Agent 協作拆解任務，保留交接證據、逾時升級並在失敗時安全回滾</x:v>
      </x:c>
      <x:c r="K284" s="37" t="str">
        <x:v>L2 建議／需核准</x:v>
      </x:c>
      <x:c r="L284" s="37" t="str">
        <x:v>程式碼、需求、架構、測試、事件、部署、依賴、使用遙測</x:v>
      </x:c>
      <x:c r="M284" s="37" t="str">
        <x:v>GitHub/GitLab、Jira、CI/CD、APM、Kubernetes、ITSM、雲端平台</x:v>
      </x:c>
      <x:c r="N284" s="37" t="str">
        <x:v>企業軟體團隊需加速從需求到發布，同時控制技術債、可靠性與供應鏈風險。Demo：匯入一組去識別資料，觸發「從提交到日誌追蹤外洩範圍並協調輪替」，由系統提出證據、建議與下一步；使用者核准後回寫任務，最後呈現「縮短修復」前後差異。</x:v>
      </x:c>
      <x:c r="O284" s="37" t="str">
        <x:v>中低</x:v>
      </x:c>
      <x:c r="P284" s="37" t="str">
        <x:v>鄰近既有能力：原有 ITSM/監控偏運維；本群聚焦軟體生命週期推理、品質與自主修復。本 App 的獨立邊界是「從提交到日誌追蹤外洩範圍並協調輪替」，主要產出為「縮短修復」，不是一般登錄、查詢或看板。</x:v>
      </x:c>
      <x:c r="Q284" s="38" t="n">
        <x:v>5</x:v>
      </x:c>
      <x:c r="R284" s="38" t="n">
        <x:v>5</x:v>
      </x:c>
      <x:c r="S284" s="38" t="str">
        <x:v>P1</x:v>
      </x:c>
      <x:c r="T284" s="38" t="n">
        <x:v>11</x:v>
      </x:c>
      <x:c r="U284" s="39" t="str">
        <x:v>Wave 2 高價值套件</x:v>
      </x:c>
    </x:row>
    <x:row r="285" ht="86" customHeight="1">
      <x:c r="A285" s="36" t="str">
        <x:v>JV-281</x:v>
      </x:c>
      <x:c r="B285" s="37" t="str">
        <x:v>資料產品就緒度評估器</x:v>
      </x:c>
      <x:c r="C285" s="37" t="str">
        <x:v>Data／DataOps</x:v>
      </x:c>
      <x:c r="D285" s="37" t="str">
        <x:v>資料產品</x:v>
      </x:c>
      <x:c r="E285" s="37" t="str">
        <x:v>資料、資訊、分析、內控</x:v>
      </x:c>
      <x:c r="F285" s="37" t="str">
        <x:v>CDO、資料工程師、資料管理員、分析師</x:v>
      </x:c>
      <x:c r="G285" s="37" t="str">
        <x:v>現行作法對「檢查擁有者、SLA、文件、品質與使用條件」多靠人工彙整、個人經驗或事後處理，難以一致追蹤，造成決策延遲與重工。</x:v>
      </x:c>
      <x:c r="H285" s="37" t="str">
        <x:v>資料／事件接入；檢查擁有者、SLA、文件、品質與使用條件；證據與信心呈現；例外分流與人工覆核；提升交付標準成效追蹤；完整稽核軌跡</x:v>
      </x:c>
      <x:c r="I285" s="37" t="str">
        <x:v>語意分類與實體抽取；風險／信心評分；具證據的生成與摘要；專門模型焦點：檢查擁有者、SLA、文件、品質與使用條件</x:v>
      </x:c>
      <x:c r="J285" s="37" t="str">
        <x:v>持續監測事件，達門檻後建立案件、蒐集證據、指派責任並追蹤結案；高風險動作需人工核准</x:v>
      </x:c>
      <x:c r="K285" s="37" t="str">
        <x:v>L3 可執行／關鍵核准</x:v>
      </x:c>
      <x:c r="L285" s="37" t="str">
        <x:v>資料目錄、Schema、管線、品質規則、查詢、血緣、權限與使用紀錄</x:v>
      </x:c>
      <x:c r="M285" s="37" t="str">
        <x:v>Data Lakehouse、ETL、BI、DB、MDM、IAM、Data Catalog</x:v>
      </x:c>
      <x:c r="N285" s="37" t="str">
        <x:v>企業資料快速增加，使用者需知道資料可不可信、從哪來、改動會影響誰。Demo：匯入一組去識別資料，觸發「檢查擁有者、SLA、文件、品質與使用條件」，由系統提出證據、建議與下一步；使用者核准後回寫任務，最後呈現「提升交付標準」前後差異。</x:v>
      </x:c>
      <x:c r="O285" s="37" t="str">
        <x:v>中低</x:v>
      </x:c>
      <x:c r="P285" s="37" t="str">
        <x:v>鄰近既有能力：原有資料治理可能有目錄與報表；本群聚焦主動品質、語意契約與可執行 DataOps。本 App 的獨立邊界是「檢查擁有者、SLA、文件、品質與使用條件」，主要產出為「提升交付標準」，不是一般登錄、查詢或看板。</x:v>
      </x:c>
      <x:c r="Q285" s="38" t="n">
        <x:v>5</x:v>
      </x:c>
      <x:c r="R285" s="38" t="n">
        <x:v>3</x:v>
      </x:c>
      <x:c r="S285" s="38" t="str">
        <x:v>P1</x:v>
      </x:c>
      <x:c r="T285" s="38" t="n">
        <x:v>7</x:v>
      </x:c>
      <x:c r="U285" s="39" t="str">
        <x:v>Wave 2 高價值套件</x:v>
      </x:c>
    </x:row>
    <x:row r="286" ht="86" customHeight="1">
      <x:c r="A286" s="36" t="str">
        <x:v>JV-282</x:v>
      </x:c>
      <x:c r="B286" s="37" t="str">
        <x:v>資料產品價值歸因器</x:v>
      </x:c>
      <x:c r="C286" s="37" t="str">
        <x:v>Data／DataOps</x:v>
      </x:c>
      <x:c r="D286" s="37" t="str">
        <x:v>資料產品</x:v>
      </x:c>
      <x:c r="E286" s="37" t="str">
        <x:v>資料、資訊、分析、內控</x:v>
      </x:c>
      <x:c r="F286" s="37" t="str">
        <x:v>CDO、資料工程師、資料管理員、分析師</x:v>
      </x:c>
      <x:c r="G286" s="37" t="str">
        <x:v>現行作法對「連結資料集到決策、流程與商業成果」多靠人工彙整、個人經驗或事後處理，難以一致追蹤，造成決策延遲與重工。</x:v>
      </x:c>
      <x:c r="H286" s="37" t="str">
        <x:v>資料／事件接入；連結資料集到決策、流程與商業成果；證據與信心呈現；例外分流與人工覆核；辨識高價值資產成效追蹤；完整稽核軌跡</x:v>
      </x:c>
      <x:c r="I286" s="37" t="str">
        <x:v>預測與情境模擬；多目標最佳化；不確定性呈現；專門模型焦點：連結資料集到決策、流程與商業成果</x:v>
      </x:c>
      <x:c r="J286" s="37" t="str">
        <x:v>定期掃描資料與外部訊號，提出優先序與建議；經核准後同步任務與更新來源系統</x:v>
      </x:c>
      <x:c r="K286" s="37" t="str">
        <x:v>L3 可執行／關鍵核准</x:v>
      </x:c>
      <x:c r="L286" s="37" t="str">
        <x:v>資料目錄、Schema、管線、品質規則、查詢、血緣、權限與使用紀錄</x:v>
      </x:c>
      <x:c r="M286" s="37" t="str">
        <x:v>Data Lakehouse、ETL、BI、DB、MDM、IAM、Data Catalog</x:v>
      </x:c>
      <x:c r="N286" s="37" t="str">
        <x:v>企業資料快速增加，使用者需知道資料可不可信、從哪來、改動會影響誰。Demo：匯入一組去識別資料，觸發「連結資料集到決策、流程與商業成果」，由系統提出證據、建議與下一步；使用者核准後回寫任務，最後呈現「辨識高價值資產」前後差異。</x:v>
      </x:c>
      <x:c r="O286" s="37" t="str">
        <x:v>低</x:v>
      </x:c>
      <x:c r="P286" s="37" t="str">
        <x:v>鄰近既有能力：原有資料治理可能有目錄與報表；本群聚焦主動品質、語意契約與可執行 DataOps。本 App 的獨立邊界是「連結資料集到決策、流程與商業成果」，主要產出為「辨識高價值資產」，不是一般登錄、查詢或看板。</x:v>
      </x:c>
      <x:c r="Q286" s="38" t="n">
        <x:v>5</x:v>
      </x:c>
      <x:c r="R286" s="38" t="n">
        <x:v>4</x:v>
      </x:c>
      <x:c r="S286" s="38" t="str">
        <x:v>P1</x:v>
      </x:c>
      <x:c r="T286" s="38" t="n">
        <x:v>9</x:v>
      </x:c>
      <x:c r="U286" s="39" t="str">
        <x:v>Wave 2 高價值套件</x:v>
      </x:c>
    </x:row>
    <x:row r="287" ht="86" customHeight="1">
      <x:c r="A287" s="36" t="str">
        <x:v>JV-283</x:v>
      </x:c>
      <x:c r="B287" s="37" t="str">
        <x:v>資料產品需求媒合台</x:v>
      </x:c>
      <x:c r="C287" s="37" t="str">
        <x:v>Data／DataOps</x:v>
      </x:c>
      <x:c r="D287" s="37" t="str">
        <x:v>資料產品</x:v>
      </x:c>
      <x:c r="E287" s="37" t="str">
        <x:v>資料、資訊、分析、內控</x:v>
      </x:c>
      <x:c r="F287" s="37" t="str">
        <x:v>CDO、資料工程師、資料管理員、分析師</x:v>
      </x:c>
      <x:c r="G287" s="37" t="str">
        <x:v>現行作法對「把使用者需求匹配既有資料與缺口」多靠人工彙整、個人經驗或事後處理，難以一致追蹤，造成決策延遲與重工。</x:v>
      </x:c>
      <x:c r="H287" s="37" t="str">
        <x:v>資料／事件接入；把使用者需求匹配既有資料與缺口；證據與信心呈現；例外分流與人工覆核；減少重複建置成效追蹤；完整稽核軌跡</x:v>
      </x:c>
      <x:c r="I287" s="37" t="str">
        <x:v>跨文件／跨系統比對；圖譜推理；差異與缺口生成；專門模型焦點：把使用者需求匹配既有資料與缺口</x:v>
      </x:c>
      <x:c r="J287" s="37" t="str">
        <x:v>以人機協作模式先產生草案與證據包，接受修改後執行核准步驟並建立完整稽核軌跡</x:v>
      </x:c>
      <x:c r="K287" s="37" t="str">
        <x:v>L3 可執行／關鍵核准</x:v>
      </x:c>
      <x:c r="L287" s="37" t="str">
        <x:v>資料目錄、Schema、管線、品質規則、查詢、血緣、權限與使用紀錄</x:v>
      </x:c>
      <x:c r="M287" s="37" t="str">
        <x:v>Data Lakehouse、ETL、BI、DB、MDM、IAM、Data Catalog</x:v>
      </x:c>
      <x:c r="N287" s="37" t="str">
        <x:v>企業資料快速增加，使用者需知道資料可不可信、從哪來、改動會影響誰。Demo：匯入一組去識別資料，觸發「把使用者需求匹配既有資料與缺口」，由系統提出證據、建議與下一步；使用者核准後回寫任務，最後呈現「減少重複建置」前後差異。</x:v>
      </x:c>
      <x:c r="O287" s="37" t="str">
        <x:v>低</x:v>
      </x:c>
      <x:c r="P287" s="37" t="str">
        <x:v>鄰近既有能力：原有資料治理可能有目錄與報表；本群聚焦主動品質、語意契約與可執行 DataOps。本 App 的獨立邊界是「把使用者需求匹配既有資料與缺口」，主要產出為「減少重複建置」，不是一般登錄、查詢或看板。</x:v>
      </x:c>
      <x:c r="Q287" s="38" t="n">
        <x:v>5</x:v>
      </x:c>
      <x:c r="R287" s="38" t="n">
        <x:v>4</x:v>
      </x:c>
      <x:c r="S287" s="38" t="str">
        <x:v>P1</x:v>
      </x:c>
      <x:c r="T287" s="38" t="n">
        <x:v>9</x:v>
      </x:c>
      <x:c r="U287" s="39" t="str">
        <x:v>Wave 2 高價值套件</x:v>
      </x:c>
    </x:row>
    <x:row r="288" ht="86" customHeight="1">
      <x:c r="A288" s="36" t="str">
        <x:v>JV-284</x:v>
      </x:c>
      <x:c r="B288" s="37" t="str">
        <x:v>資料產品成本分攤器</x:v>
      </x:c>
      <x:c r="C288" s="37" t="str">
        <x:v>Data／DataOps</x:v>
      </x:c>
      <x:c r="D288" s="37" t="str">
        <x:v>資料產品</x:v>
      </x:c>
      <x:c r="E288" s="37" t="str">
        <x:v>資料、資訊、分析、內控</x:v>
      </x:c>
      <x:c r="F288" s="37" t="str">
        <x:v>CDO、資料工程師、資料管理員、分析師</x:v>
      </x:c>
      <x:c r="G288" s="37" t="str">
        <x:v>現行作法對「按儲存、運算、查詢與使用單位分攤」多靠人工彙整、個人經驗或事後處理，難以一致追蹤，造成決策延遲與重工。</x:v>
      </x:c>
      <x:c r="H288" s="37" t="str">
        <x:v>資料／事件接入；按儲存、運算、查詢與使用單位分攤；證據與信心呈現；例外分流與人工覆核；支持 FinOps成效追蹤；完整稽核軌跡</x:v>
      </x:c>
      <x:c r="I288" s="37" t="str">
        <x:v>異常偵測；因果線索分析；可解釋的建議排序；專門模型焦點：按儲存、運算、查詢與使用單位分攤</x:v>
      </x:c>
      <x:c r="J288" s="37" t="str">
        <x:v>依目標自主規劃步驟、呼叫核准工具、遇到例外改走人工佇列，完成後驗證結果並回報</x:v>
      </x:c>
      <x:c r="K288" s="37" t="str">
        <x:v>L3 可執行／關鍵核准</x:v>
      </x:c>
      <x:c r="L288" s="37" t="str">
        <x:v>資料目錄、Schema、管線、品質規則、查詢、血緣、權限與使用紀錄</x:v>
      </x:c>
      <x:c r="M288" s="37" t="str">
        <x:v>Data Lakehouse、ETL、BI、DB、MDM、IAM、Data Catalog</x:v>
      </x:c>
      <x:c r="N288" s="37" t="str">
        <x:v>企業資料快速增加，使用者需知道資料可不可信、從哪來、改動會影響誰。Demo：匯入一組去識別資料，觸發「按儲存、運算、查詢與使用單位分攤」，由系統提出證據、建議與下一步；使用者核准後回寫任務，最後呈現「支持 FinOps」前後差異。</x:v>
      </x:c>
      <x:c r="O288" s="37" t="str">
        <x:v>低</x:v>
      </x:c>
      <x:c r="P288" s="37" t="str">
        <x:v>鄰近既有能力：原有資料治理可能有目錄與報表；本群聚焦主動品質、語意契約與可執行 DataOps。本 App 的獨立邊界是「按儲存、運算、查詢與使用單位分攤」，主要產出為「支持 FinOps」，不是一般登錄、查詢或看板。</x:v>
      </x:c>
      <x:c r="Q288" s="38" t="n">
        <x:v>4</x:v>
      </x:c>
      <x:c r="R288" s="38" t="n">
        <x:v>4</x:v>
      </x:c>
      <x:c r="S288" s="38" t="str">
        <x:v>P1</x:v>
      </x:c>
      <x:c r="T288" s="38" t="n">
        <x:v>9</x:v>
      </x:c>
      <x:c r="U288" s="39" t="str">
        <x:v>Wave 2 高價值套件</x:v>
      </x:c>
    </x:row>
    <x:row r="289" ht="86" customHeight="1">
      <x:c r="A289" s="36" t="str">
        <x:v>JV-285</x:v>
      </x:c>
      <x:c r="B289" s="37" t="str">
        <x:v>資料產品退場規劃器</x:v>
      </x:c>
      <x:c r="C289" s="37" t="str">
        <x:v>Data／DataOps</x:v>
      </x:c>
      <x:c r="D289" s="37" t="str">
        <x:v>資料產品</x:v>
      </x:c>
      <x:c r="E289" s="37" t="str">
        <x:v>資料、資訊、分析、內控</x:v>
      </x:c>
      <x:c r="F289" s="37" t="str">
        <x:v>CDO、資料工程師、資料管理員、分析師</x:v>
      </x:c>
      <x:c r="G289" s="37" t="str">
        <x:v>現行作法對「找依賴、替代品與通知對象後安全下線」多靠人工彙整、個人經驗或事後處理，難以一致追蹤，造成決策延遲與重工。</x:v>
      </x:c>
      <x:c r="H289" s="37" t="str">
        <x:v>資料／事件接入；找依賴、替代品與通知對象後安全下線；證據與信心呈現；例外分流與人工覆核；避免斷鏈成效追蹤；完整稽核軌跡</x:v>
      </x:c>
      <x:c r="I289" s="37" t="str">
        <x:v>RAG 檢索與來源引用；規則＋模型混合判斷；矛盾檢查；專門模型焦點：找依賴、替代品與通知對象後安全下線</x:v>
      </x:c>
      <x:c r="J289" s="37" t="str">
        <x:v>與多個專業 Agent 協作拆解任務，保留交接證據、逾時升級並在失敗時安全回滾</x:v>
      </x:c>
      <x:c r="K289" s="37" t="str">
        <x:v>L2 建議／需核准</x:v>
      </x:c>
      <x:c r="L289" s="37" t="str">
        <x:v>資料目錄、Schema、管線、品質規則、查詢、血緣、權限與使用紀錄</x:v>
      </x:c>
      <x:c r="M289" s="37" t="str">
        <x:v>Data Lakehouse、ETL、BI、DB、MDM、IAM、Data Catalog</x:v>
      </x:c>
      <x:c r="N289" s="37" t="str">
        <x:v>企業資料快速增加，使用者需知道資料可不可信、從哪來、改動會影響誰。Demo：匯入一組去識別資料，觸發「找依賴、替代品與通知對象後安全下線」，由系統提出證據、建議與下一步；使用者核准後回寫任務，最後呈現「避免斷鏈」前後差異。</x:v>
      </x:c>
      <x:c r="O289" s="37" t="str">
        <x:v>中低</x:v>
      </x:c>
      <x:c r="P289" s="37" t="str">
        <x:v>鄰近既有能力：原有資料治理可能有目錄與報表；本群聚焦主動品質、語意契約與可執行 DataOps。本 App 的獨立邊界是「找依賴、替代品與通知對象後安全下線」，主要產出為「避免斷鏈」，不是一般登錄、查詢或看板。</x:v>
      </x:c>
      <x:c r="Q289" s="38" t="n">
        <x:v>5</x:v>
      </x:c>
      <x:c r="R289" s="38" t="n">
        <x:v>5</x:v>
      </x:c>
      <x:c r="S289" s="38" t="str">
        <x:v>P1</x:v>
      </x:c>
      <x:c r="T289" s="38" t="n">
        <x:v>11</x:v>
      </x:c>
      <x:c r="U289" s="39" t="str">
        <x:v>Wave 2 高價值套件</x:v>
      </x:c>
    </x:row>
    <x:row r="290" ht="86" customHeight="1">
      <x:c r="A290" s="36" t="str">
        <x:v>JV-286</x:v>
      </x:c>
      <x:c r="B290" s="37" t="str">
        <x:v>企業指標語意對齊器</x:v>
      </x:c>
      <x:c r="C290" s="37" t="str">
        <x:v>Data／DataOps</x:v>
      </x:c>
      <x:c r="D290" s="37" t="str">
        <x:v>語意與目錄</x:v>
      </x:c>
      <x:c r="E290" s="37" t="str">
        <x:v>資料、資訊、分析、內控</x:v>
      </x:c>
      <x:c r="F290" s="37" t="str">
        <x:v>CDO、資料工程師、資料管理員、分析師</x:v>
      </x:c>
      <x:c r="G290" s="37" t="str">
        <x:v>現行作法對「發現同名異義與異名同義指標」多靠人工彙整、個人經驗或事後處理，難以一致追蹤，造成決策延遲與重工。</x:v>
      </x:c>
      <x:c r="H290" s="37" t="str">
        <x:v>資料／事件接入；發現同名異義與異名同義指標；證據與信心呈現；例外分流與人工覆核；建立共同語言成效追蹤；完整稽核軌跡</x:v>
      </x:c>
      <x:c r="I290" s="37" t="str">
        <x:v>語意分類與實體抽取；風險／信心評分；具證據的生成與摘要；專門模型焦點：發現同名異義與異名同義指標</x:v>
      </x:c>
      <x:c r="J290" s="37" t="str">
        <x:v>持續監測事件，達門檻後建立案件、蒐集證據、指派責任並追蹤結案；高風險動作需人工核准</x:v>
      </x:c>
      <x:c r="K290" s="37" t="str">
        <x:v>L3 可執行／關鍵核准</x:v>
      </x:c>
      <x:c r="L290" s="37" t="str">
        <x:v>資料目錄、Schema、管線、品質規則、查詢、血緣、權限與使用紀錄</x:v>
      </x:c>
      <x:c r="M290" s="37" t="str">
        <x:v>Data Lakehouse、ETL、BI、DB、MDM、IAM、Data Catalog</x:v>
      </x:c>
      <x:c r="N290" s="37" t="str">
        <x:v>企業資料快速增加，使用者需知道資料可不可信、從哪來、改動會影響誰。Demo：匯入一組去識別資料，觸發「發現同名異義與異名同義指標」，由系統提出證據、建議與下一步；使用者核准後回寫任務，最後呈現「建立共同語言」前後差異。</x:v>
      </x:c>
      <x:c r="O290" s="37" t="str">
        <x:v>中低</x:v>
      </x:c>
      <x:c r="P290" s="37" t="str">
        <x:v>鄰近既有能力：原有資料治理可能有目錄與報表；本群聚焦主動品質、語意契約與可執行 DataOps。本 App 的獨立邊界是「發現同名異義與異名同義指標」，主要產出為「建立共同語言」，不是一般登錄、查詢或看板。</x:v>
      </x:c>
      <x:c r="Q290" s="38" t="n">
        <x:v>5</x:v>
      </x:c>
      <x:c r="R290" s="38" t="n">
        <x:v>3</x:v>
      </x:c>
      <x:c r="S290" s="38" t="str">
        <x:v>P1</x:v>
      </x:c>
      <x:c r="T290" s="38" t="n">
        <x:v>7</x:v>
      </x:c>
      <x:c r="U290" s="39" t="str">
        <x:v>Wave 2 高價值套件</x:v>
      </x:c>
    </x:row>
    <x:row r="291" ht="86" customHeight="1">
      <x:c r="A291" s="36" t="str">
        <x:v>JV-287</x:v>
      </x:c>
      <x:c r="B291" s="37" t="str">
        <x:v>資料欄位自動註解員</x:v>
      </x:c>
      <x:c r="C291" s="37" t="str">
        <x:v>Data／DataOps</x:v>
      </x:c>
      <x:c r="D291" s="37" t="str">
        <x:v>語意與目錄</x:v>
      </x:c>
      <x:c r="E291" s="37" t="str">
        <x:v>資料、資訊、分析、內控</x:v>
      </x:c>
      <x:c r="F291" s="37" t="str">
        <x:v>CDO、資料工程師、資料管理員、分析師</x:v>
      </x:c>
      <x:c r="G291" s="37" t="str">
        <x:v>現行作法對「從值、查詢與文件建議商業定義」多靠人工彙整、個人經驗或事後處理，難以一致追蹤，造成決策延遲與重工。</x:v>
      </x:c>
      <x:c r="H291" s="37" t="str">
        <x:v>資料／事件接入；從值、查詢與文件建議商業定義；證據與信心呈現；例外分流與人工覆核；加速目錄建置成效追蹤；完整稽核軌跡</x:v>
      </x:c>
      <x:c r="I291" s="37" t="str">
        <x:v>預測與情境模擬；多目標最佳化；不確定性呈現；專門模型焦點：從值、查詢與文件建議商業定義</x:v>
      </x:c>
      <x:c r="J291" s="37" t="str">
        <x:v>定期掃描資料與外部訊號，提出優先序與建議；經核准後同步任務與更新來源系統</x:v>
      </x:c>
      <x:c r="K291" s="37" t="str">
        <x:v>L3 可執行／關鍵核准</x:v>
      </x:c>
      <x:c r="L291" s="37" t="str">
        <x:v>資料目錄、Schema、管線、品質規則、查詢、血緣、權限與使用紀錄</x:v>
      </x:c>
      <x:c r="M291" s="37" t="str">
        <x:v>Data Lakehouse、ETL、BI、DB、MDM、IAM、Data Catalog</x:v>
      </x:c>
      <x:c r="N291" s="37" t="str">
        <x:v>企業資料快速增加，使用者需知道資料可不可信、從哪來、改動會影響誰。Demo：匯入一組去識別資料，觸發「從值、查詢與文件建議商業定義」，由系統提出證據、建議與下一步；使用者核准後回寫任務，最後呈現「加速目錄建置」前後差異。</x:v>
      </x:c>
      <x:c r="O291" s="37" t="str">
        <x:v>低</x:v>
      </x:c>
      <x:c r="P291" s="37" t="str">
        <x:v>鄰近既有能力：原有資料治理可能有目錄與報表；本群聚焦主動品質、語意契約與可執行 DataOps。本 App 的獨立邊界是「從值、查詢與文件建議商業定義」，主要產出為「加速目錄建置」，不是一般登錄、查詢或看板。</x:v>
      </x:c>
      <x:c r="Q291" s="38" t="n">
        <x:v>5</x:v>
      </x:c>
      <x:c r="R291" s="38" t="n">
        <x:v>4</x:v>
      </x:c>
      <x:c r="S291" s="38" t="str">
        <x:v>P1</x:v>
      </x:c>
      <x:c r="T291" s="38" t="n">
        <x:v>9</x:v>
      </x:c>
      <x:c r="U291" s="39" t="str">
        <x:v>Wave 2 高價值套件</x:v>
      </x:c>
    </x:row>
    <x:row r="292" ht="86" customHeight="1">
      <x:c r="A292" s="36" t="str">
        <x:v>JV-288</x:v>
      </x:c>
      <x:c r="B292" s="37" t="str">
        <x:v>敏感欄位語意分類器</x:v>
      </x:c>
      <x:c r="C292" s="37" t="str">
        <x:v>Data／DataOps</x:v>
      </x:c>
      <x:c r="D292" s="37" t="str">
        <x:v>語意與目錄</x:v>
      </x:c>
      <x:c r="E292" s="37" t="str">
        <x:v>資料、資訊、分析、內控</x:v>
      </x:c>
      <x:c r="F292" s="37" t="str">
        <x:v>CDO、資料工程師、資料管理員、分析師</x:v>
      </x:c>
      <x:c r="G292" s="37" t="str">
        <x:v>現行作法對「辨識個資、商業機密與受管制資料」多靠人工彙整、個人經驗或事後處理，難以一致追蹤，造成決策延遲與重工。</x:v>
      </x:c>
      <x:c r="H292" s="37" t="str">
        <x:v>資料／事件接入；辨識個資、商業機密與受管制資料；證據與信心呈現；例外分流與人工覆核；套用合適政策成效追蹤；完整稽核軌跡</x:v>
      </x:c>
      <x:c r="I292" s="37" t="str">
        <x:v>跨文件／跨系統比對；圖譜推理；差異與缺口生成；專門模型焦點：辨識個資、商業機密與受管制資料</x:v>
      </x:c>
      <x:c r="J292" s="37" t="str">
        <x:v>以人機協作模式先產生草案與證據包，接受修改後執行核准步驟並建立完整稽核軌跡</x:v>
      </x:c>
      <x:c r="K292" s="37" t="str">
        <x:v>L3 可執行／關鍵核准</x:v>
      </x:c>
      <x:c r="L292" s="37" t="str">
        <x:v>資料目錄、Schema、管線、品質規則、查詢、血緣、權限與使用紀錄</x:v>
      </x:c>
      <x:c r="M292" s="37" t="str">
        <x:v>Data Lakehouse、ETL、BI、DB、MDM、IAM、Data Catalog</x:v>
      </x:c>
      <x:c r="N292" s="37" t="str">
        <x:v>企業資料快速增加，使用者需知道資料可不可信、從哪來、改動會影響誰。Demo：匯入一組去識別資料，觸發「辨識個資、商業機密與受管制資料」，由系統提出證據、建議與下一步；使用者核准後回寫任務，最後呈現「套用合適政策」前後差異。</x:v>
      </x:c>
      <x:c r="O292" s="37" t="str">
        <x:v>低</x:v>
      </x:c>
      <x:c r="P292" s="37" t="str">
        <x:v>鄰近既有能力：原有資料治理可能有目錄與報表；本群聚焦主動品質、語意契約與可執行 DataOps。本 App 的獨立邊界是「辨識個資、商業機密與受管制資料」，主要產出為「套用合適政策」，不是一般登錄、查詢或看板。</x:v>
      </x:c>
      <x:c r="Q292" s="38" t="n">
        <x:v>5</x:v>
      </x:c>
      <x:c r="R292" s="38" t="n">
        <x:v>4</x:v>
      </x:c>
      <x:c r="S292" s="38" t="str">
        <x:v>P1</x:v>
      </x:c>
      <x:c r="T292" s="38" t="n">
        <x:v>9</x:v>
      </x:c>
      <x:c r="U292" s="39" t="str">
        <x:v>Wave 2 高價值套件</x:v>
      </x:c>
    </x:row>
    <x:row r="293" ht="86" customHeight="1">
      <x:c r="A293" s="36" t="str">
        <x:v>JV-289</x:v>
      </x:c>
      <x:c r="B293" s="37" t="str">
        <x:v>資料專家推薦器</x:v>
      </x:c>
      <x:c r="C293" s="37" t="str">
        <x:v>Data／DataOps</x:v>
      </x:c>
      <x:c r="D293" s="37" t="str">
        <x:v>語意與目錄</x:v>
      </x:c>
      <x:c r="E293" s="37" t="str">
        <x:v>資料、資訊、分析、內控</x:v>
      </x:c>
      <x:c r="F293" s="37" t="str">
        <x:v>CDO、資料工程師、資料管理員、分析師</x:v>
      </x:c>
      <x:c r="G293" s="37" t="str">
        <x:v>現行作法對「依提交、查詢與維護紀錄找真正專家」多靠人工彙整、個人經驗或事後處理，難以一致追蹤，造成決策延遲與重工。</x:v>
      </x:c>
      <x:c r="H293" s="37" t="str">
        <x:v>資料／事件接入；依提交、查詢與維護紀錄找真正專家；證據與信心呈現；例外分流與人工覆核；縮短問人時間成效追蹤；完整稽核軌跡</x:v>
      </x:c>
      <x:c r="I293" s="37" t="str">
        <x:v>異常偵測；因果線索分析；可解釋的建議排序；專門模型焦點：依提交、查詢與維護紀錄找真正專家</x:v>
      </x:c>
      <x:c r="J293" s="37" t="str">
        <x:v>依目標自主規劃步驟、呼叫核准工具、遇到例外改走人工佇列，完成後驗證結果並回報</x:v>
      </x:c>
      <x:c r="K293" s="37" t="str">
        <x:v>L3 可執行／關鍵核准</x:v>
      </x:c>
      <x:c r="L293" s="37" t="str">
        <x:v>資料目錄、Schema、管線、品質規則、查詢、血緣、權限與使用紀錄</x:v>
      </x:c>
      <x:c r="M293" s="37" t="str">
        <x:v>Data Lakehouse、ETL、BI、DB、MDM、IAM、Data Catalog</x:v>
      </x:c>
      <x:c r="N293" s="37" t="str">
        <x:v>企業資料快速增加，使用者需知道資料可不可信、從哪來、改動會影響誰。Demo：匯入一組去識別資料，觸發「依提交、查詢與維護紀錄找真正專家」，由系統提出證據、建議與下一步；使用者核准後回寫任務，最後呈現「縮短問人時間」前後差異。</x:v>
      </x:c>
      <x:c r="O293" s="37" t="str">
        <x:v>低</x:v>
      </x:c>
      <x:c r="P293" s="37" t="str">
        <x:v>鄰近既有能力：原有資料治理可能有目錄與報表；本群聚焦主動品質、語意契約與可執行 DataOps。本 App 的獨立邊界是「依提交、查詢與維護紀錄找真正專家」，主要產出為「縮短問人時間」，不是一般登錄、查詢或看板。</x:v>
      </x:c>
      <x:c r="Q293" s="38" t="n">
        <x:v>5</x:v>
      </x:c>
      <x:c r="R293" s="38" t="n">
        <x:v>4</x:v>
      </x:c>
      <x:c r="S293" s="38" t="str">
        <x:v>P1</x:v>
      </x:c>
      <x:c r="T293" s="38" t="n">
        <x:v>9</x:v>
      </x:c>
      <x:c r="U293" s="39" t="str">
        <x:v>Wave 2 高價值套件</x:v>
      </x:c>
    </x:row>
    <x:row r="294" ht="86" customHeight="1">
      <x:c r="A294" s="36" t="str">
        <x:v>JV-290</x:v>
      </x:c>
      <x:c r="B294" s="37" t="str">
        <x:v>語意變更影響通知器</x:v>
      </x:c>
      <x:c r="C294" s="37" t="str">
        <x:v>Data／DataOps</x:v>
      </x:c>
      <x:c r="D294" s="37" t="str">
        <x:v>語意與目錄</x:v>
      </x:c>
      <x:c r="E294" s="37" t="str">
        <x:v>資料、資訊、分析、內控</x:v>
      </x:c>
      <x:c r="F294" s="37" t="str">
        <x:v>CDO、資料工程師、資料管理員、分析師</x:v>
      </x:c>
      <x:c r="G294" s="37" t="str">
        <x:v>現行作法對「指標或定義修改時通知使用者與報表擁有者」多靠人工彙整、個人經驗或事後處理，難以一致追蹤，造成決策延遲與重工。</x:v>
      </x:c>
      <x:c r="H294" s="37" t="str">
        <x:v>資料／事件接入；指標或定義修改時通知使用者與報表擁有者；證據與信心呈現；例外分流與人工覆核；避免認知分叉成效追蹤；完整稽核軌跡</x:v>
      </x:c>
      <x:c r="I294" s="37" t="str">
        <x:v>RAG 檢索與來源引用；規則＋模型混合判斷；矛盾檢查；專門模型焦點：指標或定義修改時通知使用者與報表擁有者</x:v>
      </x:c>
      <x:c r="J294" s="37" t="str">
        <x:v>與多個專業 Agent 協作拆解任務，保留交接證據、逾時升級並在失敗時安全回滾</x:v>
      </x:c>
      <x:c r="K294" s="37" t="str">
        <x:v>L2 建議／需核准</x:v>
      </x:c>
      <x:c r="L294" s="37" t="str">
        <x:v>資料目錄、Schema、管線、品質規則、查詢、血緣、權限與使用紀錄</x:v>
      </x:c>
      <x:c r="M294" s="37" t="str">
        <x:v>Data Lakehouse、ETL、BI、DB、MDM、IAM、Data Catalog</x:v>
      </x:c>
      <x:c r="N294" s="37" t="str">
        <x:v>企業資料快速增加，使用者需知道資料可不可信、從哪來、改動會影響誰。Demo：匯入一組去識別資料，觸發「指標或定義修改時通知使用者與報表擁有者」，由系統提出證據、建議與下一步；使用者核准後回寫任務，最後呈現「避免認知分叉」前後差異。</x:v>
      </x:c>
      <x:c r="O294" s="37" t="str">
        <x:v>中低</x:v>
      </x:c>
      <x:c r="P294" s="37" t="str">
        <x:v>鄰近既有能力：原有資料治理可能有目錄與報表；本群聚焦主動品質、語意契約與可執行 DataOps。本 App 的獨立邊界是「指標或定義修改時通知使用者與報表擁有者」，主要產出為「避免認知分叉」，不是一般登錄、查詢或看板。</x:v>
      </x:c>
      <x:c r="Q294" s="38" t="n">
        <x:v>4</x:v>
      </x:c>
      <x:c r="R294" s="38" t="n">
        <x:v>5</x:v>
      </x:c>
      <x:c r="S294" s="38" t="str">
        <x:v>P1</x:v>
      </x:c>
      <x:c r="T294" s="38" t="n">
        <x:v>11</x:v>
      </x:c>
      <x:c r="U294" s="39" t="str">
        <x:v>Wave 2 高價值套件</x:v>
      </x:c>
    </x:row>
    <x:row r="295" ht="86" customHeight="1">
      <x:c r="A295" s="36" t="str">
        <x:v>JV-291</x:v>
      </x:c>
      <x:c r="B295" s="37" t="str">
        <x:v>資料品質規則生成器</x:v>
      </x:c>
      <x:c r="C295" s="37" t="str">
        <x:v>Data／DataOps</x:v>
      </x:c>
      <x:c r="D295" s="37" t="str">
        <x:v>資料品質</x:v>
      </x:c>
      <x:c r="E295" s="37" t="str">
        <x:v>資料、資訊、分析、內控</x:v>
      </x:c>
      <x:c r="F295" s="37" t="str">
        <x:v>CDO、資料工程師、資料管理員、分析師</x:v>
      </x:c>
      <x:c r="G295" s="37" t="str">
        <x:v>現行作法對「從契約、分布與歷史事件建議規則」多靠人工彙整、個人經驗或事後處理，難以一致追蹤，造成決策延遲與重工。</x:v>
      </x:c>
      <x:c r="H295" s="37" t="str">
        <x:v>資料／事件接入；從契約、分布與歷史事件建議規則；證據與信心呈現；例外分流與人工覆核；擴大監控覆蓋成效追蹤；完整稽核軌跡</x:v>
      </x:c>
      <x:c r="I295" s="37" t="str">
        <x:v>語意分類與實體抽取；風險／信心評分；具證據的生成與摘要；專門模型焦點：從契約、分布與歷史事件建議規則</x:v>
      </x:c>
      <x:c r="J295" s="37" t="str">
        <x:v>持續監測事件，達門檻後建立案件、蒐集證據、指派責任並追蹤結案；高風險動作需人工核准</x:v>
      </x:c>
      <x:c r="K295" s="37" t="str">
        <x:v>L3 可執行／關鍵核准</x:v>
      </x:c>
      <x:c r="L295" s="37" t="str">
        <x:v>資料目錄、Schema、管線、品質規則、查詢、血緣、權限與使用紀錄</x:v>
      </x:c>
      <x:c r="M295" s="37" t="str">
        <x:v>Data Lakehouse、ETL、BI、DB、MDM、IAM、Data Catalog</x:v>
      </x:c>
      <x:c r="N295" s="37" t="str">
        <x:v>企業資料快速增加，使用者需知道資料可不可信、從哪來、改動會影響誰。Demo：匯入一組去識別資料，觸發「從契約、分布與歷史事件建議規則」，由系統提出證據、建議與下一步；使用者核准後回寫任務，最後呈現「擴大監控覆蓋」前後差異。</x:v>
      </x:c>
      <x:c r="O295" s="37" t="str">
        <x:v>中低</x:v>
      </x:c>
      <x:c r="P295" s="37" t="str">
        <x:v>鄰近既有能力：原有資料治理可能有目錄與報表；本群聚焦主動品質、語意契約與可執行 DataOps。本 App 的獨立邊界是「從契約、分布與歷史事件建議規則」，主要產出為「擴大監控覆蓋」，不是一般登錄、查詢或看板。</x:v>
      </x:c>
      <x:c r="Q295" s="38" t="n">
        <x:v>5</x:v>
      </x:c>
      <x:c r="R295" s="38" t="n">
        <x:v>3</x:v>
      </x:c>
      <x:c r="S295" s="38" t="str">
        <x:v>P1</x:v>
      </x:c>
      <x:c r="T295" s="38" t="n">
        <x:v>7</x:v>
      </x:c>
      <x:c r="U295" s="39" t="str">
        <x:v>Wave 2 高價值套件</x:v>
      </x:c>
    </x:row>
    <x:row r="296" ht="86" customHeight="1">
      <x:c r="A296" s="36" t="str">
        <x:v>JV-292</x:v>
      </x:c>
      <x:c r="B296" s="37" t="str">
        <x:v>資料異常根因導航器</x:v>
      </x:c>
      <x:c r="C296" s="37" t="str">
        <x:v>Data／DataOps</x:v>
      </x:c>
      <x:c r="D296" s="37" t="str">
        <x:v>資料品質</x:v>
      </x:c>
      <x:c r="E296" s="37" t="str">
        <x:v>資料、資訊、分析、內控</x:v>
      </x:c>
      <x:c r="F296" s="37" t="str">
        <x:v>CDO、資料工程師、資料管理員、分析師</x:v>
      </x:c>
      <x:c r="G296" s="37" t="str">
        <x:v>現行作法對「沿血緣與變更找出異常源頭」多靠人工彙整、個人經驗或事後處理，難以一致追蹤，造成決策延遲與重工。</x:v>
      </x:c>
      <x:c r="H296" s="37" t="str">
        <x:v>資料／事件接入；沿血緣與變更找出異常源頭；證據與信心呈現；例外分流與人工覆核；縮短修復時間成效追蹤；完整稽核軌跡</x:v>
      </x:c>
      <x:c r="I296" s="37" t="str">
        <x:v>預測與情境模擬；多目標最佳化；不確定性呈現；專門模型焦點：沿血緣與變更找出異常源頭</x:v>
      </x:c>
      <x:c r="J296" s="37" t="str">
        <x:v>定期掃描資料與外部訊號，提出優先序與建議；經核准後同步任務與更新來源系統</x:v>
      </x:c>
      <x:c r="K296" s="37" t="str">
        <x:v>L3 可執行／關鍵核准</x:v>
      </x:c>
      <x:c r="L296" s="37" t="str">
        <x:v>資料目錄、Schema、管線、品質規則、查詢、血緣、權限與使用紀錄</x:v>
      </x:c>
      <x:c r="M296" s="37" t="str">
        <x:v>Data Lakehouse、ETL、BI、DB、MDM、IAM、Data Catalog</x:v>
      </x:c>
      <x:c r="N296" s="37" t="str">
        <x:v>企業資料快速增加，使用者需知道資料可不可信、從哪來、改動會影響誰。Demo：匯入一組去識別資料，觸發「沿血緣與變更找出異常源頭」，由系統提出證據、建議與下一步；使用者核准後回寫任務，最後呈現「縮短修復時間」前後差異。</x:v>
      </x:c>
      <x:c r="O296" s="37" t="str">
        <x:v>低</x:v>
      </x:c>
      <x:c r="P296" s="37" t="str">
        <x:v>鄰近既有能力：原有資料治理可能有目錄與報表；本群聚焦主動品質、語意契約與可執行 DataOps。本 App 的獨立邊界是「沿血緣與變更找出異常源頭」，主要產出為「縮短修復時間」，不是一般登錄、查詢或看板。</x:v>
      </x:c>
      <x:c r="Q296" s="38" t="n">
        <x:v>5</x:v>
      </x:c>
      <x:c r="R296" s="38" t="n">
        <x:v>4</x:v>
      </x:c>
      <x:c r="S296" s="38" t="str">
        <x:v>P1</x:v>
      </x:c>
      <x:c r="T296" s="38" t="n">
        <x:v>9</x:v>
      </x:c>
      <x:c r="U296" s="39" t="str">
        <x:v>Wave 2 高價值套件</x:v>
      </x:c>
    </x:row>
    <x:row r="297" ht="86" customHeight="1">
      <x:c r="A297" s="36" t="str">
        <x:v>JV-293</x:v>
      </x:c>
      <x:c r="B297" s="37" t="str">
        <x:v>資料新鮮度預測器</x:v>
      </x:c>
      <x:c r="C297" s="37" t="str">
        <x:v>Data／DataOps</x:v>
      </x:c>
      <x:c r="D297" s="37" t="str">
        <x:v>資料品質</x:v>
      </x:c>
      <x:c r="E297" s="37" t="str">
        <x:v>資料、資訊、分析、內控</x:v>
      </x:c>
      <x:c r="F297" s="37" t="str">
        <x:v>CDO、資料工程師、資料管理員、分析師</x:v>
      </x:c>
      <x:c r="G297" s="37" t="str">
        <x:v>現行作法對「預測管線延遲是否會違反下游 SLA」多靠人工彙整、個人經驗或事後處理，難以一致追蹤，造成決策延遲與重工。</x:v>
      </x:c>
      <x:c r="H297" s="37" t="str">
        <x:v>資料／事件接入；預測管線延遲是否會違反下游 SLA；證據與信心呈現；例外分流與人工覆核；提前介入成效追蹤；完整稽核軌跡</x:v>
      </x:c>
      <x:c r="I297" s="37" t="str">
        <x:v>跨文件／跨系統比對；圖譜推理；差異與缺口生成；專門模型焦點：預測管線延遲是否會違反下游 SLA</x:v>
      </x:c>
      <x:c r="J297" s="37" t="str">
        <x:v>以人機協作模式先產生草案與證據包，接受修改後執行核准步驟並建立完整稽核軌跡</x:v>
      </x:c>
      <x:c r="K297" s="37" t="str">
        <x:v>L3 可執行／關鍵核准</x:v>
      </x:c>
      <x:c r="L297" s="37" t="str">
        <x:v>資料目錄、Schema、管線、品質規則、查詢、血緣、權限與使用紀錄</x:v>
      </x:c>
      <x:c r="M297" s="37" t="str">
        <x:v>Data Lakehouse、ETL、BI、DB、MDM、IAM、Data Catalog</x:v>
      </x:c>
      <x:c r="N297" s="37" t="str">
        <x:v>企業資料快速增加，使用者需知道資料可不可信、從哪來、改動會影響誰。Demo：匯入一組去識別資料，觸發「預測管線延遲是否會違反下游 SLA」，由系統提出證據、建議與下一步；使用者核准後回寫任務，最後呈現「提前介入」前後差異。</x:v>
      </x:c>
      <x:c r="O297" s="37" t="str">
        <x:v>低</x:v>
      </x:c>
      <x:c r="P297" s="37" t="str">
        <x:v>鄰近既有能力：原有資料治理可能有目錄與報表；本群聚焦主動品質、語意契約與可執行 DataOps。本 App 的獨立邊界是「預測管線延遲是否會違反下游 SLA」，主要產出為「提前介入」，不是一般登錄、查詢或看板。</x:v>
      </x:c>
      <x:c r="Q297" s="38" t="n">
        <x:v>5</x:v>
      </x:c>
      <x:c r="R297" s="38" t="n">
        <x:v>4</x:v>
      </x:c>
      <x:c r="S297" s="38" t="str">
        <x:v>P1</x:v>
      </x:c>
      <x:c r="T297" s="38" t="n">
        <x:v>9</x:v>
      </x:c>
      <x:c r="U297" s="39" t="str">
        <x:v>Wave 2 高價值套件</x:v>
      </x:c>
    </x:row>
    <x:row r="298" ht="86" customHeight="1">
      <x:c r="A298" s="36" t="str">
        <x:v>JV-294</x:v>
      </x:c>
      <x:c r="B298" s="37" t="str">
        <x:v>跨系統對帳差異解釋器</x:v>
      </x:c>
      <x:c r="C298" s="37" t="str">
        <x:v>Data／DataOps</x:v>
      </x:c>
      <x:c r="D298" s="37" t="str">
        <x:v>資料品質</x:v>
      </x:c>
      <x:c r="E298" s="37" t="str">
        <x:v>資料、資訊、分析、內控</x:v>
      </x:c>
      <x:c r="F298" s="37" t="str">
        <x:v>CDO、資料工程師、資料管理員、分析師</x:v>
      </x:c>
      <x:c r="G298" s="37" t="str">
        <x:v>現行作法對「比對 ERP、CRM、BI 數字並分類差異原因」多靠人工彙整、個人經驗或事後處理，難以一致追蹤，造成決策延遲與重工。</x:v>
      </x:c>
      <x:c r="H298" s="37" t="str">
        <x:v>資料／事件接入；比對 ERP、CRM、BI 數字並分類差異原因；證據與信心呈現；例外分流與人工覆核；提升報表信任成效追蹤；完整稽核軌跡</x:v>
      </x:c>
      <x:c r="I298" s="37" t="str">
        <x:v>異常偵測；因果線索分析；可解釋的建議排序；專門模型焦點：比對 ERP、CRM、BI 數字並分類差異原因</x:v>
      </x:c>
      <x:c r="J298" s="37" t="str">
        <x:v>依目標自主規劃步驟、呼叫核准工具、遇到例外改走人工佇列，完成後驗證結果並回報</x:v>
      </x:c>
      <x:c r="K298" s="37" t="str">
        <x:v>L3 可執行／關鍵核准</x:v>
      </x:c>
      <x:c r="L298" s="37" t="str">
        <x:v>資料目錄、Schema、管線、品質規則、查詢、血緣、權限與使用紀錄</x:v>
      </x:c>
      <x:c r="M298" s="37" t="str">
        <x:v>Data Lakehouse、ETL、BI、DB、MDM、IAM、Data Catalog</x:v>
      </x:c>
      <x:c r="N298" s="37" t="str">
        <x:v>企業資料快速增加，使用者需知道資料可不可信、從哪來、改動會影響誰。Demo：匯入一組去識別資料，觸發「比對 ERP、CRM、BI 數字並分類差異原因」，由系統提出證據、建議與下一步；使用者核准後回寫任務，最後呈現「提升報表信任」前後差異。</x:v>
      </x:c>
      <x:c r="O298" s="37" t="str">
        <x:v>低</x:v>
      </x:c>
      <x:c r="P298" s="37" t="str">
        <x:v>鄰近既有能力：原有資料治理可能有目錄與報表；本群聚焦主動品質、語意契約與可執行 DataOps。本 App 的獨立邊界是「比對 ERP、CRM、BI 數字並分類差異原因」，主要產出為「提升報表信任」，不是一般登錄、查詢或看板。</x:v>
      </x:c>
      <x:c r="Q298" s="38" t="n">
        <x:v>5</x:v>
      </x:c>
      <x:c r="R298" s="38" t="n">
        <x:v>4</x:v>
      </x:c>
      <x:c r="S298" s="38" t="str">
        <x:v>P1</x:v>
      </x:c>
      <x:c r="T298" s="38" t="n">
        <x:v>9</x:v>
      </x:c>
      <x:c r="U298" s="39" t="str">
        <x:v>Wave 2 高價值套件</x:v>
      </x:c>
    </x:row>
    <x:row r="299" ht="86" customHeight="1">
      <x:c r="A299" s="36" t="str">
        <x:v>JV-295</x:v>
      </x:c>
      <x:c r="B299" s="37" t="str">
        <x:v>資料品質例外裁決台</x:v>
      </x:c>
      <x:c r="C299" s="37" t="str">
        <x:v>Data／DataOps</x:v>
      </x:c>
      <x:c r="D299" s="37" t="str">
        <x:v>資料品質</x:v>
      </x:c>
      <x:c r="E299" s="37" t="str">
        <x:v>資料、資訊、分析、內控</x:v>
      </x:c>
      <x:c r="F299" s="37" t="str">
        <x:v>CDO、資料工程師、資料管理員、分析師</x:v>
      </x:c>
      <x:c r="G299" s="37" t="str">
        <x:v>現行作法對「管理合理例外、期限與補償控制」多靠人工彙整、個人經驗或事後處理，難以一致追蹤，造成決策延遲與重工。</x:v>
      </x:c>
      <x:c r="H299" s="37" t="str">
        <x:v>資料／事件接入；管理合理例外、期限與補償控制；證據與信心呈現；例外分流與人工覆核；降低告警疲勞成效追蹤；完整稽核軌跡</x:v>
      </x:c>
      <x:c r="I299" s="37" t="str">
        <x:v>RAG 檢索與來源引用；規則＋模型混合判斷；矛盾檢查；專門模型焦點：管理合理例外、期限與補償控制</x:v>
      </x:c>
      <x:c r="J299" s="37" t="str">
        <x:v>與多個專業 Agent 協作拆解任務，保留交接證據、逾時升級並在失敗時安全回滾</x:v>
      </x:c>
      <x:c r="K299" s="37" t="str">
        <x:v>L2 建議／需核准</x:v>
      </x:c>
      <x:c r="L299" s="37" t="str">
        <x:v>資料目錄、Schema、管線、品質規則、查詢、血緣、權限與使用紀錄</x:v>
      </x:c>
      <x:c r="M299" s="37" t="str">
        <x:v>Data Lakehouse、ETL、BI、DB、MDM、IAM、Data Catalog</x:v>
      </x:c>
      <x:c r="N299" s="37" t="str">
        <x:v>企業資料快速增加，使用者需知道資料可不可信、從哪來、改動會影響誰。Demo：匯入一組去識別資料，觸發「管理合理例外、期限與補償控制」，由系統提出證據、建議與下一步；使用者核准後回寫任務，最後呈現「降低告警疲勞」前後差異。</x:v>
      </x:c>
      <x:c r="O299" s="37" t="str">
        <x:v>中低</x:v>
      </x:c>
      <x:c r="P299" s="37" t="str">
        <x:v>鄰近既有能力：原有資料治理可能有目錄與報表；本群聚焦主動品質、語意契約與可執行 DataOps。本 App 的獨立邊界是「管理合理例外、期限與補償控制」，主要產出為「降低告警疲勞」，不是一般登錄、查詢或看板。</x:v>
      </x:c>
      <x:c r="Q299" s="38" t="n">
        <x:v>5</x:v>
      </x:c>
      <x:c r="R299" s="38" t="n">
        <x:v>5</x:v>
      </x:c>
      <x:c r="S299" s="38" t="str">
        <x:v>P1</x:v>
      </x:c>
      <x:c r="T299" s="38" t="n">
        <x:v>11</x:v>
      </x:c>
      <x:c r="U299" s="39" t="str">
        <x:v>Wave 2 高價值套件</x:v>
      </x:c>
    </x:row>
    <x:row r="300" ht="86" customHeight="1">
      <x:c r="A300" s="36" t="str">
        <x:v>JV-296</x:v>
      </x:c>
      <x:c r="B300" s="37" t="str">
        <x:v>Schema 契約守門員</x:v>
      </x:c>
      <x:c r="C300" s="37" t="str">
        <x:v>Data／DataOps</x:v>
      </x:c>
      <x:c r="D300" s="37" t="str">
        <x:v>資料契約</x:v>
      </x:c>
      <x:c r="E300" s="37" t="str">
        <x:v>資料、資訊、分析、內控</x:v>
      </x:c>
      <x:c r="F300" s="37" t="str">
        <x:v>CDO、資料工程師、資料管理員、分析師</x:v>
      </x:c>
      <x:c r="G300" s="37" t="str">
        <x:v>現行作法對「發布前檢查破壞性欄位與型別變更」多靠人工彙整、個人經驗或事後處理，難以一致追蹤，造成決策延遲與重工。</x:v>
      </x:c>
      <x:c r="H300" s="37" t="str">
        <x:v>資料／事件接入；發布前檢查破壞性欄位與型別變更；證據與信心呈現；例外分流與人工覆核；保護下游成效追蹤；完整稽核軌跡</x:v>
      </x:c>
      <x:c r="I300" s="37" t="str">
        <x:v>語意分類與實體抽取；風險／信心評分；具證據的生成與摘要；專門模型焦點：發布前檢查破壞性欄位與型別變更</x:v>
      </x:c>
      <x:c r="J300" s="37" t="str">
        <x:v>持續監測事件，達門檻後建立案件、蒐集證據、指派責任並追蹤結案；高風險動作需人工核准</x:v>
      </x:c>
      <x:c r="K300" s="37" t="str">
        <x:v>L3 可執行／關鍵核准</x:v>
      </x:c>
      <x:c r="L300" s="37" t="str">
        <x:v>資料目錄、Schema、管線、品質規則、查詢、血緣、權限與使用紀錄</x:v>
      </x:c>
      <x:c r="M300" s="37" t="str">
        <x:v>Data Lakehouse、ETL、BI、DB、MDM、IAM、Data Catalog</x:v>
      </x:c>
      <x:c r="N300" s="37" t="str">
        <x:v>企業資料快速增加，使用者需知道資料可不可信、從哪來、改動會影響誰。Demo：匯入一組去識別資料，觸發「發布前檢查破壞性欄位與型別變更」，由系統提出證據、建議與下一步；使用者核准後回寫任務，最後呈現「保護下游」前後差異。</x:v>
      </x:c>
      <x:c r="O300" s="37" t="str">
        <x:v>中低</x:v>
      </x:c>
      <x:c r="P300" s="37" t="str">
        <x:v>鄰近既有能力：原有資料治理可能有目錄與報表；本群聚焦主動品質、語意契約與可執行 DataOps。本 App 的獨立邊界是「發布前檢查破壞性欄位與型別變更」，主要產出為「保護下游」，不是一般登錄、查詢或看板。</x:v>
      </x:c>
      <x:c r="Q300" s="38" t="n">
        <x:v>5</x:v>
      </x:c>
      <x:c r="R300" s="38" t="n">
        <x:v>3</x:v>
      </x:c>
      <x:c r="S300" s="38" t="str">
        <x:v>P1</x:v>
      </x:c>
      <x:c r="T300" s="38" t="n">
        <x:v>7</x:v>
      </x:c>
      <x:c r="U300" s="39" t="str">
        <x:v>Wave 2 高價值套件</x:v>
      </x:c>
    </x:row>
    <x:row r="301" ht="86" customHeight="1">
      <x:c r="A301" s="36" t="str">
        <x:v>JV-297</x:v>
      </x:c>
      <x:c r="B301" s="37" t="str">
        <x:v>事件資料契約測試器</x:v>
      </x:c>
      <x:c r="C301" s="37" t="str">
        <x:v>Data／DataOps</x:v>
      </x:c>
      <x:c r="D301" s="37" t="str">
        <x:v>資料契約</x:v>
      </x:c>
      <x:c r="E301" s="37" t="str">
        <x:v>資料、資訊、分析、內控</x:v>
      </x:c>
      <x:c r="F301" s="37" t="str">
        <x:v>CDO、資料工程師、資料管理員、分析師</x:v>
      </x:c>
      <x:c r="G301" s="37" t="str">
        <x:v>現行作法對「驗證事件名稱、欄位、順序與語意」多靠人工彙整、個人經驗或事後處理，難以一致追蹤，造成決策延遲與重工。</x:v>
      </x:c>
      <x:c r="H301" s="37" t="str">
        <x:v>資料／事件接入；驗證事件名稱、欄位、順序與語意；證據與信心呈現；例外分流與人工覆核；提高串流可靠性成效追蹤；完整稽核軌跡</x:v>
      </x:c>
      <x:c r="I301" s="37" t="str">
        <x:v>預測與情境模擬；多目標最佳化；不確定性呈現；專門模型焦點：驗證事件名稱、欄位、順序與語意</x:v>
      </x:c>
      <x:c r="J301" s="37" t="str">
        <x:v>定期掃描資料與外部訊號，提出優先序與建議；經核准後同步任務與更新來源系統</x:v>
      </x:c>
      <x:c r="K301" s="37" t="str">
        <x:v>L3 可執行／關鍵核准</x:v>
      </x:c>
      <x:c r="L301" s="37" t="str">
        <x:v>資料目錄、Schema、管線、品質規則、查詢、血緣、權限與使用紀錄</x:v>
      </x:c>
      <x:c r="M301" s="37" t="str">
        <x:v>Data Lakehouse、ETL、BI、DB、MDM、IAM、Data Catalog</x:v>
      </x:c>
      <x:c r="N301" s="37" t="str">
        <x:v>企業資料快速增加，使用者需知道資料可不可信、從哪來、改動會影響誰。Demo：匯入一組去識別資料，觸發「驗證事件名稱、欄位、順序與語意」，由系統提出證據、建議與下一步；使用者核准後回寫任務，最後呈現「提高串流可靠性」前後差異。</x:v>
      </x:c>
      <x:c r="O301" s="37" t="str">
        <x:v>低</x:v>
      </x:c>
      <x:c r="P301" s="37" t="str">
        <x:v>鄰近既有能力：原有資料治理可能有目錄與報表；本群聚焦主動品質、語意契約與可執行 DataOps。本 App 的獨立邊界是「驗證事件名稱、欄位、順序與語意」，主要產出為「提高串流可靠性」，不是一般登錄、查詢或看板。</x:v>
      </x:c>
      <x:c r="Q301" s="38" t="n">
        <x:v>5</x:v>
      </x:c>
      <x:c r="R301" s="38" t="n">
        <x:v>4</x:v>
      </x:c>
      <x:c r="S301" s="38" t="str">
        <x:v>P1</x:v>
      </x:c>
      <x:c r="T301" s="38" t="n">
        <x:v>9</x:v>
      </x:c>
      <x:c r="U301" s="39" t="str">
        <x:v>Wave 2 高價值套件</x:v>
      </x:c>
    </x:row>
    <x:row r="302" ht="86" customHeight="1">
      <x:c r="A302" s="36" t="str">
        <x:v>JV-298</x:v>
      </x:c>
      <x:c r="B302" s="37" t="str">
        <x:v>資料 SLA 協商助手</x:v>
      </x:c>
      <x:c r="C302" s="37" t="str">
        <x:v>Data／DataOps</x:v>
      </x:c>
      <x:c r="D302" s="37" t="str">
        <x:v>資料契約</x:v>
      </x:c>
      <x:c r="E302" s="37" t="str">
        <x:v>資料、資訊、分析、內控</x:v>
      </x:c>
      <x:c r="F302" s="37" t="str">
        <x:v>CDO、資料工程師、資料管理員、分析師</x:v>
      </x:c>
      <x:c r="G302" s="37" t="str">
        <x:v>現行作法對「依使用情境建議新鮮度、可用性與支援層級」多靠人工彙整、個人經驗或事後處理，難以一致追蹤，造成決策延遲與重工。</x:v>
      </x:c>
      <x:c r="H302" s="37" t="str">
        <x:v>資料／事件接入；依使用情境建議新鮮度、可用性與支援層級；證據與信心呈現；例外分流與人工覆核；設定合理承諾成效追蹤；完整稽核軌跡</x:v>
      </x:c>
      <x:c r="I302" s="37" t="str">
        <x:v>跨文件／跨系統比對；圖譜推理；差異與缺口生成；專門模型焦點：依使用情境建議新鮮度、可用性與支援層級</x:v>
      </x:c>
      <x:c r="J302" s="37" t="str">
        <x:v>以人機協作模式先產生草案與證據包，接受修改後執行核准步驟並建立完整稽核軌跡</x:v>
      </x:c>
      <x:c r="K302" s="37" t="str">
        <x:v>L3 可執行／關鍵核准</x:v>
      </x:c>
      <x:c r="L302" s="37" t="str">
        <x:v>資料目錄、Schema、管線、品質規則、查詢、血緣、權限與使用紀錄</x:v>
      </x:c>
      <x:c r="M302" s="37" t="str">
        <x:v>Data Lakehouse、ETL、BI、DB、MDM、IAM、Data Catalog</x:v>
      </x:c>
      <x:c r="N302" s="37" t="str">
        <x:v>企業資料快速增加，使用者需知道資料可不可信、從哪來、改動會影響誰。Demo：匯入一組去識別資料，觸發「依使用情境建議新鮮度、可用性與支援層級」，由系統提出證據、建議與下一步；使用者核准後回寫任務，最後呈現「設定合理承諾」前後差異。</x:v>
      </x:c>
      <x:c r="O302" s="37" t="str">
        <x:v>低</x:v>
      </x:c>
      <x:c r="P302" s="37" t="str">
        <x:v>鄰近既有能力：原有資料治理可能有目錄與報表；本群聚焦主動品質、語意契約與可執行 DataOps。本 App 的獨立邊界是「依使用情境建議新鮮度、可用性與支援層級」，主要產出為「設定合理承諾」，不是一般登錄、查詢或看板。</x:v>
      </x:c>
      <x:c r="Q302" s="38" t="n">
        <x:v>5</x:v>
      </x:c>
      <x:c r="R302" s="38" t="n">
        <x:v>4</x:v>
      </x:c>
      <x:c r="S302" s="38" t="str">
        <x:v>P1</x:v>
      </x:c>
      <x:c r="T302" s="38" t="n">
        <x:v>9</x:v>
      </x:c>
      <x:c r="U302" s="39" t="str">
        <x:v>Wave 2 高價值套件</x:v>
      </x:c>
    </x:row>
    <x:row r="303" ht="86" customHeight="1">
      <x:c r="A303" s="36" t="str">
        <x:v>JV-299</x:v>
      </x:c>
      <x:c r="B303" s="37" t="str">
        <x:v>契約違反自動分流器</x:v>
      </x:c>
      <x:c r="C303" s="37" t="str">
        <x:v>Data／DataOps</x:v>
      </x:c>
      <x:c r="D303" s="37" t="str">
        <x:v>資料契約</x:v>
      </x:c>
      <x:c r="E303" s="37" t="str">
        <x:v>資料、資訊、分析、內控</x:v>
      </x:c>
      <x:c r="F303" s="37" t="str">
        <x:v>CDO、資料工程師、資料管理員、分析師</x:v>
      </x:c>
      <x:c r="G303" s="37" t="str">
        <x:v>現行作法對「識別生產者、消費者與影響後建立事件」多靠人工彙整、個人經驗或事後處理，難以一致追蹤，造成決策延遲與重工。</x:v>
      </x:c>
      <x:c r="H303" s="37" t="str">
        <x:v>資料／事件接入；識別生產者、消費者與影響後建立事件；證據與信心呈現；例外分流與人工覆核；加速處置成效追蹤；完整稽核軌跡</x:v>
      </x:c>
      <x:c r="I303" s="37" t="str">
        <x:v>異常偵測；因果線索分析；可解釋的建議排序；專門模型焦點：識別生產者、消費者與影響後建立事件</x:v>
      </x:c>
      <x:c r="J303" s="37" t="str">
        <x:v>依目標自主規劃步驟、呼叫核准工具、遇到例外改走人工佇列，完成後驗證結果並回報</x:v>
      </x:c>
      <x:c r="K303" s="37" t="str">
        <x:v>L3 可執行／關鍵核准</x:v>
      </x:c>
      <x:c r="L303" s="37" t="str">
        <x:v>資料目錄、Schema、管線、品質規則、查詢、血緣、權限與使用紀錄</x:v>
      </x:c>
      <x:c r="M303" s="37" t="str">
        <x:v>Data Lakehouse、ETL、BI、DB、MDM、IAM、Data Catalog</x:v>
      </x:c>
      <x:c r="N303" s="37" t="str">
        <x:v>企業資料快速增加，使用者需知道資料可不可信、從哪來、改動會影響誰。Demo：匯入一組去識別資料，觸發「識別生產者、消費者與影響後建立事件」，由系統提出證據、建議與下一步；使用者核准後回寫任務，最後呈現「加速處置」前後差異。</x:v>
      </x:c>
      <x:c r="O303" s="37" t="str">
        <x:v>低</x:v>
      </x:c>
      <x:c r="P303" s="37" t="str">
        <x:v>鄰近既有能力：原有資料治理可能有目錄與報表；本群聚焦主動品質、語意契約與可執行 DataOps。本 App 的獨立邊界是「識別生產者、消費者與影響後建立事件」，主要產出為「加速處置」，不是一般登錄、查詢或看板。</x:v>
      </x:c>
      <x:c r="Q303" s="38" t="n">
        <x:v>5</x:v>
      </x:c>
      <x:c r="R303" s="38" t="n">
        <x:v>4</x:v>
      </x:c>
      <x:c r="S303" s="38" t="str">
        <x:v>P1</x:v>
      </x:c>
      <x:c r="T303" s="38" t="n">
        <x:v>9</x:v>
      </x:c>
      <x:c r="U303" s="39" t="str">
        <x:v>Wave 2 高價值套件</x:v>
      </x:c>
    </x:row>
    <x:row r="304" ht="86" customHeight="1">
      <x:c r="A304" s="36" t="str">
        <x:v>JV-300</x:v>
      </x:c>
      <x:c r="B304" s="37" t="str">
        <x:v>資料契約版本遷移器</x:v>
      </x:c>
      <x:c r="C304" s="37" t="str">
        <x:v>Data／DataOps</x:v>
      </x:c>
      <x:c r="D304" s="37" t="str">
        <x:v>資料契約</x:v>
      </x:c>
      <x:c r="E304" s="37" t="str">
        <x:v>資料、資訊、分析、內控</x:v>
      </x:c>
      <x:c r="F304" s="37" t="str">
        <x:v>CDO、資料工程師、資料管理員、分析師</x:v>
      </x:c>
      <x:c r="G304" s="37" t="str">
        <x:v>現行作法對「產生雙寫、相容與切換計畫」多靠人工彙整、個人經驗或事後處理，難以一致追蹤，造成決策延遲與重工。</x:v>
      </x:c>
      <x:c r="H304" s="37" t="str">
        <x:v>資料／事件接入；產生雙寫、相容與切換計畫；證據與信心呈現；例外分流與人工覆核；降低升版風險成效追蹤；完整稽核軌跡</x:v>
      </x:c>
      <x:c r="I304" s="37" t="str">
        <x:v>RAG 檢索與來源引用；規則＋模型混合判斷；矛盾檢查；專門模型焦點：產生雙寫、相容與切換計畫</x:v>
      </x:c>
      <x:c r="J304" s="37" t="str">
        <x:v>與多個專業 Agent 協作拆解任務，保留交接證據、逾時升級並在失敗時安全回滾</x:v>
      </x:c>
      <x:c r="K304" s="37" t="str">
        <x:v>L2 建議／需核准</x:v>
      </x:c>
      <x:c r="L304" s="37" t="str">
        <x:v>資料目錄、Schema、管線、品質規則、查詢、血緣、權限與使用紀錄</x:v>
      </x:c>
      <x:c r="M304" s="37" t="str">
        <x:v>Data Lakehouse、ETL、BI、DB、MDM、IAM、Data Catalog</x:v>
      </x:c>
      <x:c r="N304" s="37" t="str">
        <x:v>企業資料快速增加，使用者需知道資料可不可信、從哪來、改動會影響誰。Demo：匯入一組去識別資料，觸發「產生雙寫、相容與切換計畫」，由系統提出證據、建議與下一步；使用者核准後回寫任務，最後呈現「降低升版風險」前後差異。</x:v>
      </x:c>
      <x:c r="O304" s="37" t="str">
        <x:v>中低</x:v>
      </x:c>
      <x:c r="P304" s="37" t="str">
        <x:v>鄰近既有能力：原有資料治理可能有目錄與報表；本群聚焦主動品質、語意契約與可執行 DataOps。本 App 的獨立邊界是「產生雙寫、相容與切換計畫」，主要產出為「降低升版風險」，不是一般登錄、查詢或看板。</x:v>
      </x:c>
      <x:c r="Q304" s="38" t="n">
        <x:v>5</x:v>
      </x:c>
      <x:c r="R304" s="38" t="n">
        <x:v>5</x:v>
      </x:c>
      <x:c r="S304" s="38" t="str">
        <x:v>P1</x:v>
      </x:c>
      <x:c r="T304" s="38" t="n">
        <x:v>11</x:v>
      </x:c>
      <x:c r="U304" s="39" t="str">
        <x:v>Wave 2 高價值套件</x:v>
      </x:c>
    </x:row>
    <x:row r="305" ht="86" customHeight="1">
      <x:c r="A305" s="36" t="str">
        <x:v>JV-301</x:v>
      </x:c>
      <x:c r="B305" s="37" t="str">
        <x:v>欄位級動態血緣探索器</x:v>
      </x:c>
      <x:c r="C305" s="37" t="str">
        <x:v>Data／DataOps</x:v>
      </x:c>
      <x:c r="D305" s="37" t="str">
        <x:v>血緣與影響</x:v>
      </x:c>
      <x:c r="E305" s="37" t="str">
        <x:v>資料、資訊、分析、內控</x:v>
      </x:c>
      <x:c r="F305" s="37" t="str">
        <x:v>CDO、資料工程師、資料管理員、分析師</x:v>
      </x:c>
      <x:c r="G305" s="37" t="str">
        <x:v>現行作法對「從查詢與管線自動重建欄位流向」多靠人工彙整、個人經驗或事後處理，難以一致追蹤，造成決策延遲與重工。</x:v>
      </x:c>
      <x:c r="H305" s="37" t="str">
        <x:v>資料／事件接入；從查詢與管線自動重建欄位流向；證據與信心呈現；例外分流與人工覆核；提升追溯精度成效追蹤；完整稽核軌跡</x:v>
      </x:c>
      <x:c r="I305" s="37" t="str">
        <x:v>語意分類與實體抽取；風險／信心評分；具證據的生成與摘要；專門模型焦點：從查詢與管線自動重建欄位流向</x:v>
      </x:c>
      <x:c r="J305" s="37" t="str">
        <x:v>持續監測事件，達門檻後建立案件、蒐集證據、指派責任並追蹤結案；高風險動作需人工核准</x:v>
      </x:c>
      <x:c r="K305" s="37" t="str">
        <x:v>L3 可執行／關鍵核准</x:v>
      </x:c>
      <x:c r="L305" s="37" t="str">
        <x:v>資料目錄、Schema、管線、品質規則、查詢、血緣、權限與使用紀錄</x:v>
      </x:c>
      <x:c r="M305" s="37" t="str">
        <x:v>Data Lakehouse、ETL、BI、DB、MDM、IAM、Data Catalog</x:v>
      </x:c>
      <x:c r="N305" s="37" t="str">
        <x:v>企業資料快速增加，使用者需知道資料可不可信、從哪來、改動會影響誰。Demo：匯入一組去識別資料，觸發「從查詢與管線自動重建欄位流向」，由系統提出證據、建議與下一步；使用者核准後回寫任務，最後呈現「提升追溯精度」前後差異。</x:v>
      </x:c>
      <x:c r="O305" s="37" t="str">
        <x:v>中低</x:v>
      </x:c>
      <x:c r="P305" s="37" t="str">
        <x:v>鄰近既有能力：原有資料治理可能有目錄與報表；本群聚焦主動品質、語意契約與可執行 DataOps。本 App 的獨立邊界是「從查詢與管線自動重建欄位流向」，主要產出為「提升追溯精度」，不是一般登錄、查詢或看板。</x:v>
      </x:c>
      <x:c r="Q305" s="38" t="n">
        <x:v>4</x:v>
      </x:c>
      <x:c r="R305" s="38" t="n">
        <x:v>3</x:v>
      </x:c>
      <x:c r="S305" s="38" t="str">
        <x:v>P1</x:v>
      </x:c>
      <x:c r="T305" s="38" t="n">
        <x:v>7</x:v>
      </x:c>
      <x:c r="U305" s="39" t="str">
        <x:v>Wave 2 高價值套件</x:v>
      </x:c>
    </x:row>
    <x:row r="306" ht="86" customHeight="1">
      <x:c r="A306" s="36" t="str">
        <x:v>JV-302</x:v>
      </x:c>
      <x:c r="B306" s="37" t="str">
        <x:v>報表變更爆炸半徑分析器</x:v>
      </x:c>
      <x:c r="C306" s="37" t="str">
        <x:v>Data／DataOps</x:v>
      </x:c>
      <x:c r="D306" s="37" t="str">
        <x:v>血緣與影響</x:v>
      </x:c>
      <x:c r="E306" s="37" t="str">
        <x:v>資料、資訊、分析、內控</x:v>
      </x:c>
      <x:c r="F306" s="37" t="str">
        <x:v>CDO、資料工程師、資料管理員、分析師</x:v>
      </x:c>
      <x:c r="G306" s="37" t="str">
        <x:v>現行作法對「預測資料變更影響的報表、模型與決策」多靠人工彙整、個人經驗或事後處理，難以一致追蹤，造成決策延遲與重工。</x:v>
      </x:c>
      <x:c r="H306" s="37" t="str">
        <x:v>資料／事件接入；預測資料變更影響的報表、模型與決策；證據與信心呈現；例外分流與人工覆核；避免意外成效追蹤；完整稽核軌跡</x:v>
      </x:c>
      <x:c r="I306" s="37" t="str">
        <x:v>預測與情境模擬；多目標最佳化；不確定性呈現；專門模型焦點：預測資料變更影響的報表、模型與決策</x:v>
      </x:c>
      <x:c r="J306" s="37" t="str">
        <x:v>定期掃描資料與外部訊號，提出優先序與建議；經核准後同步任務與更新來源系統</x:v>
      </x:c>
      <x:c r="K306" s="37" t="str">
        <x:v>L3 可執行／關鍵核准</x:v>
      </x:c>
      <x:c r="L306" s="37" t="str">
        <x:v>資料目錄、Schema、管線、品質規則、查詢、血緣、權限與使用紀錄</x:v>
      </x:c>
      <x:c r="M306" s="37" t="str">
        <x:v>Data Lakehouse、ETL、BI、DB、MDM、IAM、Data Catalog</x:v>
      </x:c>
      <x:c r="N306" s="37" t="str">
        <x:v>企業資料快速增加，使用者需知道資料可不可信、從哪來、改動會影響誰。Demo：匯入一組去識別資料，觸發「預測資料變更影響的報表、模型與決策」，由系統提出證據、建議與下一步；使用者核准後回寫任務，最後呈現「避免意外」前後差異。</x:v>
      </x:c>
      <x:c r="O306" s="37" t="str">
        <x:v>低</x:v>
      </x:c>
      <x:c r="P306" s="37" t="str">
        <x:v>鄰近既有能力：原有資料治理可能有目錄與報表；本群聚焦主動品質、語意契約與可執行 DataOps。本 App 的獨立邊界是「預測資料變更影響的報表、模型與決策」，主要產出為「避免意外」，不是一般登錄、查詢或看板。</x:v>
      </x:c>
      <x:c r="Q306" s="38" t="n">
        <x:v>5</x:v>
      </x:c>
      <x:c r="R306" s="38" t="n">
        <x:v>4</x:v>
      </x:c>
      <x:c r="S306" s="38" t="str">
        <x:v>P1</x:v>
      </x:c>
      <x:c r="T306" s="38" t="n">
        <x:v>9</x:v>
      </x:c>
      <x:c r="U306" s="39" t="str">
        <x:v>Wave 2 高價值套件</x:v>
      </x:c>
    </x:row>
    <x:row r="307" ht="86" customHeight="1">
      <x:c r="A307" s="36" t="str">
        <x:v>JV-303</x:v>
      </x:c>
      <x:c r="B307" s="37" t="str">
        <x:v>監管資料追溯包產生器</x:v>
      </x:c>
      <x:c r="C307" s="37" t="str">
        <x:v>Data／DataOps</x:v>
      </x:c>
      <x:c r="D307" s="37" t="str">
        <x:v>血緣與影響</x:v>
      </x:c>
      <x:c r="E307" s="37" t="str">
        <x:v>資料、資訊、分析、內控</x:v>
      </x:c>
      <x:c r="F307" s="37" t="str">
        <x:v>CDO、資料工程師、資料管理員、分析師</x:v>
      </x:c>
      <x:c r="G307" s="37" t="str">
        <x:v>現行作法對「從申報數字追到來源、規則與核准」多靠人工彙整、個人經驗或事後處理，難以一致追蹤，造成決策延遲與重工。</x:v>
      </x:c>
      <x:c r="H307" s="37" t="str">
        <x:v>資料／事件接入；從申報數字追到來源、規則與核准；證據與信心呈現；例外分流與人工覆核；縮短稽核成效追蹤；完整稽核軌跡</x:v>
      </x:c>
      <x:c r="I307" s="37" t="str">
        <x:v>跨文件／跨系統比對；圖譜推理；差異與缺口生成；專門模型焦點：從申報數字追到來源、規則與核准</x:v>
      </x:c>
      <x:c r="J307" s="37" t="str">
        <x:v>以人機協作模式先產生草案與證據包，接受修改後執行核准步驟並建立完整稽核軌跡</x:v>
      </x:c>
      <x:c r="K307" s="37" t="str">
        <x:v>L3 可執行／關鍵核准</x:v>
      </x:c>
      <x:c r="L307" s="37" t="str">
        <x:v>資料目錄、Schema、管線、品質規則、查詢、血緣、權限與使用紀錄</x:v>
      </x:c>
      <x:c r="M307" s="37" t="str">
        <x:v>Data Lakehouse、ETL、BI、DB、MDM、IAM、Data Catalog</x:v>
      </x:c>
      <x:c r="N307" s="37" t="str">
        <x:v>企業資料快速增加，使用者需知道資料可不可信、從哪來、改動會影響誰。Demo：匯入一組去識別資料，觸發「從申報數字追到來源、規則與核准」，由系統提出證據、建議與下一步；使用者核准後回寫任務，最後呈現「縮短稽核」前後差異。</x:v>
      </x:c>
      <x:c r="O307" s="37" t="str">
        <x:v>低</x:v>
      </x:c>
      <x:c r="P307" s="37" t="str">
        <x:v>鄰近既有能力：原有資料治理可能有目錄與報表；本群聚焦主動品質、語意契約與可執行 DataOps。本 App 的獨立邊界是「從申報數字追到來源、規則與核准」，主要產出為「縮短稽核」，不是一般登錄、查詢或看板。</x:v>
      </x:c>
      <x:c r="Q307" s="38" t="n">
        <x:v>5</x:v>
      </x:c>
      <x:c r="R307" s="38" t="n">
        <x:v>4</x:v>
      </x:c>
      <x:c r="S307" s="38" t="str">
        <x:v>P1</x:v>
      </x:c>
      <x:c r="T307" s="38" t="n">
        <x:v>9</x:v>
      </x:c>
      <x:c r="U307" s="39" t="str">
        <x:v>Wave 2 高價值套件</x:v>
      </x:c>
    </x:row>
    <x:row r="308" ht="86" customHeight="1">
      <x:c r="A308" s="36" t="str">
        <x:v>JV-304</x:v>
      </x:c>
      <x:c r="B308" s="37" t="str">
        <x:v>資料複製與擴散雷達</x:v>
      </x:c>
      <x:c r="C308" s="37" t="str">
        <x:v>Data／DataOps</x:v>
      </x:c>
      <x:c r="D308" s="37" t="str">
        <x:v>血緣與影響</x:v>
      </x:c>
      <x:c r="E308" s="37" t="str">
        <x:v>資料、資訊、分析、內控</x:v>
      </x:c>
      <x:c r="F308" s="37" t="str">
        <x:v>CDO、資料工程師、資料管理員、分析師</x:v>
      </x:c>
      <x:c r="G308" s="37" t="str">
        <x:v>現行作法對「發現敏感資料被複製到沙箱或試算表」多靠人工彙整、個人經驗或事後處理，難以一致追蹤，造成決策延遲與重工。</x:v>
      </x:c>
      <x:c r="H308" s="37" t="str">
        <x:v>資料／事件接入；發現敏感資料被複製到沙箱或試算表；證據與信心呈現；例外分流與人工覆核；控制影子資料成效追蹤；完整稽核軌跡</x:v>
      </x:c>
      <x:c r="I308" s="37" t="str">
        <x:v>異常偵測；因果線索分析；可解釋的建議排序；專門模型焦點：發現敏感資料被複製到沙箱或試算表</x:v>
      </x:c>
      <x:c r="J308" s="37" t="str">
        <x:v>依目標自主規劃步驟、呼叫核准工具、遇到例外改走人工佇列，完成後驗證結果並回報</x:v>
      </x:c>
      <x:c r="K308" s="37" t="str">
        <x:v>L3 可執行／關鍵核准</x:v>
      </x:c>
      <x:c r="L308" s="37" t="str">
        <x:v>資料目錄、Schema、管線、品質規則、查詢、血緣、權限與使用紀錄</x:v>
      </x:c>
      <x:c r="M308" s="37" t="str">
        <x:v>Data Lakehouse、ETL、BI、DB、MDM、IAM、Data Catalog</x:v>
      </x:c>
      <x:c r="N308" s="37" t="str">
        <x:v>企業資料快速增加，使用者需知道資料可不可信、從哪來、改動會影響誰。Demo：匯入一組去識別資料，觸發「發現敏感資料被複製到沙箱或試算表」，由系統提出證據、建議與下一步；使用者核准後回寫任務，最後呈現「控制影子資料」前後差異。</x:v>
      </x:c>
      <x:c r="O308" s="37" t="str">
        <x:v>低</x:v>
      </x:c>
      <x:c r="P308" s="37" t="str">
        <x:v>鄰近既有能力：原有資料治理可能有目錄與報表；本群聚焦主動品質、語意契約與可執行 DataOps。本 App 的獨立邊界是「發現敏感資料被複製到沙箱或試算表」，主要產出為「控制影子資料」，不是一般登錄、查詢或看板。</x:v>
      </x:c>
      <x:c r="Q308" s="38" t="n">
        <x:v>5</x:v>
      </x:c>
      <x:c r="R308" s="38" t="n">
        <x:v>4</x:v>
      </x:c>
      <x:c r="S308" s="38" t="str">
        <x:v>P1</x:v>
      </x:c>
      <x:c r="T308" s="38" t="n">
        <x:v>9</x:v>
      </x:c>
      <x:c r="U308" s="39" t="str">
        <x:v>Wave 2 高價值套件</x:v>
      </x:c>
    </x:row>
    <x:row r="309" ht="86" customHeight="1">
      <x:c r="A309" s="36" t="str">
        <x:v>JV-305</x:v>
      </x:c>
      <x:c r="B309" s="37" t="str">
        <x:v>血緣可信度評分器</x:v>
      </x:c>
      <x:c r="C309" s="37" t="str">
        <x:v>Data／DataOps</x:v>
      </x:c>
      <x:c r="D309" s="37" t="str">
        <x:v>血緣與影響</x:v>
      </x:c>
      <x:c r="E309" s="37" t="str">
        <x:v>資料、資訊、分析、內控</x:v>
      </x:c>
      <x:c r="F309" s="37" t="str">
        <x:v>CDO、資料工程師、資料管理員、分析師</x:v>
      </x:c>
      <x:c r="G309" s="37" t="str">
        <x:v>現行作法對「依觀測、文件與驗證程度標示可信度」多靠人工彙整、個人經驗或事後處理，難以一致追蹤，造成決策延遲與重工。</x:v>
      </x:c>
      <x:c r="H309" s="37" t="str">
        <x:v>資料／事件接入；依觀測、文件與驗證程度標示可信度；證據與信心呈現；例外分流與人工覆核；避免把猜測當事實成效追蹤；完整稽核軌跡</x:v>
      </x:c>
      <x:c r="I309" s="37" t="str">
        <x:v>RAG 檢索與來源引用；規則＋模型混合判斷；矛盾檢查；專門模型焦點：依觀測、文件與驗證程度標示可信度</x:v>
      </x:c>
      <x:c r="J309" s="37" t="str">
        <x:v>與多個專業 Agent 協作拆解任務，保留交接證據、逾時升級並在失敗時安全回滾</x:v>
      </x:c>
      <x:c r="K309" s="37" t="str">
        <x:v>L2 建議／需核准</x:v>
      </x:c>
      <x:c r="L309" s="37" t="str">
        <x:v>資料目錄、Schema、管線、品質規則、查詢、血緣、權限與使用紀錄</x:v>
      </x:c>
      <x:c r="M309" s="37" t="str">
        <x:v>Data Lakehouse、ETL、BI、DB、MDM、IAM、Data Catalog</x:v>
      </x:c>
      <x:c r="N309" s="37" t="str">
        <x:v>企業資料快速增加，使用者需知道資料可不可信、從哪來、改動會影響誰。Demo：匯入一組去識別資料，觸發「依觀測、文件與驗證程度標示可信度」，由系統提出證據、建議與下一步；使用者核准後回寫任務，最後呈現「避免把猜測當事實」前後差異。</x:v>
      </x:c>
      <x:c r="O309" s="37" t="str">
        <x:v>中低</x:v>
      </x:c>
      <x:c r="P309" s="37" t="str">
        <x:v>鄰近既有能力：原有資料治理可能有目錄與報表；本群聚焦主動品質、語意契約與可執行 DataOps。本 App 的獨立邊界是「依觀測、文件與驗證程度標示可信度」，主要產出為「避免把猜測當事實」，不是一般登錄、查詢或看板。</x:v>
      </x:c>
      <x:c r="Q309" s="38" t="n">
        <x:v>5</x:v>
      </x:c>
      <x:c r="R309" s="38" t="n">
        <x:v>5</x:v>
      </x:c>
      <x:c r="S309" s="38" t="str">
        <x:v>P1</x:v>
      </x:c>
      <x:c r="T309" s="38" t="n">
        <x:v>11</x:v>
      </x:c>
      <x:c r="U309" s="39" t="str">
        <x:v>Wave 2 高價值套件</x:v>
      </x:c>
    </x:row>
    <x:row r="310" ht="86" customHeight="1">
      <x:c r="A310" s="36" t="str">
        <x:v>JV-306</x:v>
      </x:c>
      <x:c r="B310" s="37" t="str">
        <x:v>資料用途綁定授權器</x:v>
      </x:c>
      <x:c r="C310" s="37" t="str">
        <x:v>Data／DataOps</x:v>
      </x:c>
      <x:c r="D310" s="37" t="str">
        <x:v>資料存取</x:v>
      </x:c>
      <x:c r="E310" s="37" t="str">
        <x:v>資料、資訊、分析、內控</x:v>
      </x:c>
      <x:c r="F310" s="37" t="str">
        <x:v>CDO、資料工程師、資料管理員、分析師</x:v>
      </x:c>
      <x:c r="G310" s="37" t="str">
        <x:v>現行作法對「將存取權限綁定核准目的與期限」多靠人工彙整、個人經驗或事後處理，難以一致追蹤，造成決策延遲與重工。</x:v>
      </x:c>
      <x:c r="H310" s="37" t="str">
        <x:v>資料／事件接入；將存取權限綁定核准目的與期限；證據與信心呈現；例外分流與人工覆核；落實目的限制成效追蹤；完整稽核軌跡</x:v>
      </x:c>
      <x:c r="I310" s="37" t="str">
        <x:v>語意分類與實體抽取；風險／信心評分；具證據的生成與摘要；專門模型焦點：將存取權限綁定核准目的與期限</x:v>
      </x:c>
      <x:c r="J310" s="37" t="str">
        <x:v>持續監測事件，達門檻後建立案件、蒐集證據、指派責任並追蹤結案；高風險動作需人工核准</x:v>
      </x:c>
      <x:c r="K310" s="37" t="str">
        <x:v>L3 可執行／關鍵核准</x:v>
      </x:c>
      <x:c r="L310" s="37" t="str">
        <x:v>資料目錄、Schema、管線、品質規則、查詢、血緣、權限與使用紀錄</x:v>
      </x:c>
      <x:c r="M310" s="37" t="str">
        <x:v>Data Lakehouse、ETL、BI、DB、MDM、IAM、Data Catalog</x:v>
      </x:c>
      <x:c r="N310" s="37" t="str">
        <x:v>企業資料快速增加，使用者需知道資料可不可信、從哪來、改動會影響誰。Demo：匯入一組去識別資料，觸發「將存取權限綁定核准目的與期限」，由系統提出證據、建議與下一步；使用者核准後回寫任務，最後呈現「落實目的限制」前後差異。</x:v>
      </x:c>
      <x:c r="O310" s="37" t="str">
        <x:v>中低</x:v>
      </x:c>
      <x:c r="P310" s="37" t="str">
        <x:v>鄰近既有能力：原有資料治理可能有目錄與報表；本群聚焦主動品質、語意契約與可執行 DataOps。本 App 的獨立邊界是「將存取權限綁定核准目的與期限」，主要產出為「落實目的限制」，不是一般登錄、查詢或看板。</x:v>
      </x:c>
      <x:c r="Q310" s="38" t="n">
        <x:v>5</x:v>
      </x:c>
      <x:c r="R310" s="38" t="n">
        <x:v>3</x:v>
      </x:c>
      <x:c r="S310" s="38" t="str">
        <x:v>P1</x:v>
      </x:c>
      <x:c r="T310" s="38" t="n">
        <x:v>7</x:v>
      </x:c>
      <x:c r="U310" s="39" t="str">
        <x:v>Wave 2 高價值套件</x:v>
      </x:c>
    </x:row>
    <x:row r="311" ht="86" customHeight="1">
      <x:c r="A311" s="36" t="str">
        <x:v>JV-307</x:v>
      </x:c>
      <x:c r="B311" s="37" t="str">
        <x:v>查詢隱私風險評估器</x:v>
      </x:c>
      <x:c r="C311" s="37" t="str">
        <x:v>Data／DataOps</x:v>
      </x:c>
      <x:c r="D311" s="37" t="str">
        <x:v>資料存取</x:v>
      </x:c>
      <x:c r="E311" s="37" t="str">
        <x:v>資料、資訊、分析、內控</x:v>
      </x:c>
      <x:c r="F311" s="37" t="str">
        <x:v>CDO、資料工程師、資料管理員、分析師</x:v>
      </x:c>
      <x:c r="G311" s="37" t="str">
        <x:v>現行作法對「在執行前預估重識別與小群體暴露風險」多靠人工彙整、個人經驗或事後處理，難以一致追蹤，造成決策延遲與重工。</x:v>
      </x:c>
      <x:c r="H311" s="37" t="str">
        <x:v>資料／事件接入；在執行前預估重識別與小群體暴露風險；證據與信心呈現；例外分流與人工覆核；保護個資成效追蹤；完整稽核軌跡</x:v>
      </x:c>
      <x:c r="I311" s="37" t="str">
        <x:v>預測與情境模擬；多目標最佳化；不確定性呈現；專門模型焦點：在執行前預估重識別與小群體暴露風險</x:v>
      </x:c>
      <x:c r="J311" s="37" t="str">
        <x:v>定期掃描資料與外部訊號，提出優先序與建議；經核准後同步任務與更新來源系統</x:v>
      </x:c>
      <x:c r="K311" s="37" t="str">
        <x:v>L3 可執行／關鍵核准</x:v>
      </x:c>
      <x:c r="L311" s="37" t="str">
        <x:v>資料目錄、Schema、管線、品質規則、查詢、血緣、權限與使用紀錄</x:v>
      </x:c>
      <x:c r="M311" s="37" t="str">
        <x:v>Data Lakehouse、ETL、BI、DB、MDM、IAM、Data Catalog</x:v>
      </x:c>
      <x:c r="N311" s="37" t="str">
        <x:v>企業資料快速增加，使用者需知道資料可不可信、從哪來、改動會影響誰。Demo：匯入一組去識別資料，觸發「在執行前預估重識別與小群體暴露風險」，由系統提出證據、建議與下一步；使用者核准後回寫任務，最後呈現「保護個資」前後差異。</x:v>
      </x:c>
      <x:c r="O311" s="37" t="str">
        <x:v>低</x:v>
      </x:c>
      <x:c r="P311" s="37" t="str">
        <x:v>鄰近既有能力：原有資料治理可能有目錄與報表；本群聚焦主動品質、語意契約與可執行 DataOps。本 App 的獨立邊界是「在執行前預估重識別與小群體暴露風險」，主要產出為「保護個資」，不是一般登錄、查詢或看板。</x:v>
      </x:c>
      <x:c r="Q311" s="38" t="n">
        <x:v>4</x:v>
      </x:c>
      <x:c r="R311" s="38" t="n">
        <x:v>4</x:v>
      </x:c>
      <x:c r="S311" s="38" t="str">
        <x:v>P1</x:v>
      </x:c>
      <x:c r="T311" s="38" t="n">
        <x:v>9</x:v>
      </x:c>
      <x:c r="U311" s="39" t="str">
        <x:v>Wave 2 高價值套件</x:v>
      </x:c>
    </x:row>
    <x:row r="312" ht="86" customHeight="1">
      <x:c r="A312" s="36" t="str">
        <x:v>JV-308</x:v>
      </x:c>
      <x:c r="B312" s="37" t="str">
        <x:v>零拷貝資料協作閘道</x:v>
      </x:c>
      <x:c r="C312" s="37" t="str">
        <x:v>Data／DataOps</x:v>
      </x:c>
      <x:c r="D312" s="37" t="str">
        <x:v>資料存取</x:v>
      </x:c>
      <x:c r="E312" s="37" t="str">
        <x:v>資料、資訊、分析、內控</x:v>
      </x:c>
      <x:c r="F312" s="37" t="str">
        <x:v>CDO、資料工程師、資料管理員、分析師</x:v>
      </x:c>
      <x:c r="G312" s="37" t="str">
        <x:v>現行作法對「以受控查詢讓合作方使用資料而不取得副本」多靠人工彙整、個人經驗或事後處理，難以一致追蹤，造成決策延遲與重工。</x:v>
      </x:c>
      <x:c r="H312" s="37" t="str">
        <x:v>資料／事件接入；以受控查詢讓合作方使用資料而不取得副本；證據與信心呈現；例外分流與人工覆核；降低外流成效追蹤；完整稽核軌跡</x:v>
      </x:c>
      <x:c r="I312" s="37" t="str">
        <x:v>跨文件／跨系統比對；圖譜推理；差異與缺口生成；專門模型焦點：以受控查詢讓合作方使用資料而不取得副本</x:v>
      </x:c>
      <x:c r="J312" s="37" t="str">
        <x:v>以人機協作模式先產生草案與證據包，接受修改後執行核准步驟並建立完整稽核軌跡</x:v>
      </x:c>
      <x:c r="K312" s="37" t="str">
        <x:v>L3 可執行／關鍵核准</x:v>
      </x:c>
      <x:c r="L312" s="37" t="str">
        <x:v>資料目錄、Schema、管線、品質規則、查詢、血緣、權限與使用紀錄</x:v>
      </x:c>
      <x:c r="M312" s="37" t="str">
        <x:v>Data Lakehouse、ETL、BI、DB、MDM、IAM、Data Catalog</x:v>
      </x:c>
      <x:c r="N312" s="37" t="str">
        <x:v>企業資料快速增加，使用者需知道資料可不可信、從哪來、改動會影響誰。Demo：匯入一組去識別資料，觸發「以受控查詢讓合作方使用資料而不取得副本」，由系統提出證據、建議與下一步；使用者核准後回寫任務，最後呈現「降低外流」前後差異。</x:v>
      </x:c>
      <x:c r="O312" s="37" t="str">
        <x:v>低</x:v>
      </x:c>
      <x:c r="P312" s="37" t="str">
        <x:v>鄰近既有能力：原有資料治理可能有目錄與報表；本群聚焦主動品質、語意契約與可執行 DataOps。本 App 的獨立邊界是「以受控查詢讓合作方使用資料而不取得副本」，主要產出為「降低外流」，不是一般登錄、查詢或看板。</x:v>
      </x:c>
      <x:c r="Q312" s="38" t="n">
        <x:v>5</x:v>
      </x:c>
      <x:c r="R312" s="38" t="n">
        <x:v>4</x:v>
      </x:c>
      <x:c r="S312" s="38" t="str">
        <x:v>P1</x:v>
      </x:c>
      <x:c r="T312" s="38" t="n">
        <x:v>9</x:v>
      </x:c>
      <x:c r="U312" s="39" t="str">
        <x:v>Wave 2 高價值套件</x:v>
      </x:c>
    </x:row>
    <x:row r="313" ht="86" customHeight="1">
      <x:c r="A313" s="36" t="str">
        <x:v>JV-309</x:v>
      </x:c>
      <x:c r="B313" s="37" t="str">
        <x:v>資料存取異常偵測器</x:v>
      </x:c>
      <x:c r="C313" s="37" t="str">
        <x:v>Data／DataOps</x:v>
      </x:c>
      <x:c r="D313" s="37" t="str">
        <x:v>資料存取</x:v>
      </x:c>
      <x:c r="E313" s="37" t="str">
        <x:v>資料、資訊、分析、內控</x:v>
      </x:c>
      <x:c r="F313" s="37" t="str">
        <x:v>CDO、資料工程師、資料管理員、分析師</x:v>
      </x:c>
      <x:c r="G313" s="37" t="str">
        <x:v>現行作法對「辨識不尋常時間、範圍與敏感欄位查詢」多靠人工彙整、個人經驗或事後處理，難以一致追蹤，造成決策延遲與重工。</x:v>
      </x:c>
      <x:c r="H313" s="37" t="str">
        <x:v>資料／事件接入；辨識不尋常時間、範圍與敏感欄位查詢；證據與信心呈現；例外分流與人工覆核；提前告警成效追蹤；完整稽核軌跡</x:v>
      </x:c>
      <x:c r="I313" s="37" t="str">
        <x:v>異常偵測；因果線索分析；可解釋的建議排序；專門模型焦點：辨識不尋常時間、範圍與敏感欄位查詢</x:v>
      </x:c>
      <x:c r="J313" s="37" t="str">
        <x:v>依目標自主規劃步驟、呼叫核准工具、遇到例外改走人工佇列，完成後驗證結果並回報</x:v>
      </x:c>
      <x:c r="K313" s="37" t="str">
        <x:v>L3 可執行／關鍵核准</x:v>
      </x:c>
      <x:c r="L313" s="37" t="str">
        <x:v>資料目錄、Schema、管線、品質規則、查詢、血緣、權限與使用紀錄</x:v>
      </x:c>
      <x:c r="M313" s="37" t="str">
        <x:v>Data Lakehouse、ETL、BI、DB、MDM、IAM、Data Catalog</x:v>
      </x:c>
      <x:c r="N313" s="37" t="str">
        <x:v>企業資料快速增加，使用者需知道資料可不可信、從哪來、改動會影響誰。Demo：匯入一組去識別資料，觸發「辨識不尋常時間、範圍與敏感欄位查詢」，由系統提出證據、建議與下一步；使用者核准後回寫任務，最後呈現「提前告警」前後差異。</x:v>
      </x:c>
      <x:c r="O313" s="37" t="str">
        <x:v>低</x:v>
      </x:c>
      <x:c r="P313" s="37" t="str">
        <x:v>鄰近既有能力：原有資料治理可能有目錄與報表；本群聚焦主動品質、語意契約與可執行 DataOps。本 App 的獨立邊界是「辨識不尋常時間、範圍與敏感欄位查詢」，主要產出為「提前告警」，不是一般登錄、查詢或看板。</x:v>
      </x:c>
      <x:c r="Q313" s="38" t="n">
        <x:v>5</x:v>
      </x:c>
      <x:c r="R313" s="38" t="n">
        <x:v>4</x:v>
      </x:c>
      <x:c r="S313" s="38" t="str">
        <x:v>P1</x:v>
      </x:c>
      <x:c r="T313" s="38" t="n">
        <x:v>9</x:v>
      </x:c>
      <x:c r="U313" s="39" t="str">
        <x:v>Wave 2 高價值套件</x:v>
      </x:c>
    </x:row>
    <x:row r="314" ht="86" customHeight="1">
      <x:c r="A314" s="36" t="str">
        <x:v>JV-310</x:v>
      </x:c>
      <x:c r="B314" s="37" t="str">
        <x:v>資料權限使用率清理器</x:v>
      </x:c>
      <x:c r="C314" s="37" t="str">
        <x:v>Data／DataOps</x:v>
      </x:c>
      <x:c r="D314" s="37" t="str">
        <x:v>資料存取</x:v>
      </x:c>
      <x:c r="E314" s="37" t="str">
        <x:v>資料、資訊、分析、內控</x:v>
      </x:c>
      <x:c r="F314" s="37" t="str">
        <x:v>CDO、資料工程師、資料管理員、分析師</x:v>
      </x:c>
      <x:c r="G314" s="37" t="str">
        <x:v>現行作法對「找出長期未用與過度授權權限」多靠人工彙整、個人經驗或事後處理，難以一致追蹤，造成決策延遲與重工。</x:v>
      </x:c>
      <x:c r="H314" s="37" t="str">
        <x:v>資料／事件接入；找出長期未用與過度授權權限；證據與信心呈現；例外分流與人工覆核；縮小暴露面成效追蹤；完整稽核軌跡</x:v>
      </x:c>
      <x:c r="I314" s="37" t="str">
        <x:v>RAG 檢索與來源引用；規則＋模型混合判斷；矛盾檢查；專門模型焦點：找出長期未用與過度授權權限</x:v>
      </x:c>
      <x:c r="J314" s="37" t="str">
        <x:v>與多個專業 Agent 協作拆解任務，保留交接證據、逾時升級並在失敗時安全回滾</x:v>
      </x:c>
      <x:c r="K314" s="37" t="str">
        <x:v>L2 建議／需核准</x:v>
      </x:c>
      <x:c r="L314" s="37" t="str">
        <x:v>資料目錄、Schema、管線、品質規則、查詢、血緣、權限與使用紀錄</x:v>
      </x:c>
      <x:c r="M314" s="37" t="str">
        <x:v>Data Lakehouse、ETL、BI、DB、MDM、IAM、Data Catalog</x:v>
      </x:c>
      <x:c r="N314" s="37" t="str">
        <x:v>企業資料快速增加，使用者需知道資料可不可信、從哪來、改動會影響誰。Demo：匯入一組去識別資料，觸發「找出長期未用與過度授權權限」，由系統提出證據、建議與下一步；使用者核准後回寫任務，最後呈現「縮小暴露面」前後差異。</x:v>
      </x:c>
      <x:c r="O314" s="37" t="str">
        <x:v>中低</x:v>
      </x:c>
      <x:c r="P314" s="37" t="str">
        <x:v>鄰近既有能力：原有資料治理可能有目錄與報表；本群聚焦主動品質、語意契約與可執行 DataOps。本 App 的獨立邊界是「找出長期未用與過度授權權限」，主要產出為「縮小暴露面」，不是一般登錄、查詢或看板。</x:v>
      </x:c>
      <x:c r="Q314" s="38" t="n">
        <x:v>5</x:v>
      </x:c>
      <x:c r="R314" s="38" t="n">
        <x:v>5</x:v>
      </x:c>
      <x:c r="S314" s="38" t="str">
        <x:v>P1</x:v>
      </x:c>
      <x:c r="T314" s="38" t="n">
        <x:v>11</x:v>
      </x:c>
      <x:c r="U314" s="39" t="str">
        <x:v>Wave 2 高價值套件</x:v>
      </x:c>
    </x:row>
    <x:row r="315" ht="86" customHeight="1">
      <x:c r="A315" s="36" t="str">
        <x:v>JV-311</x:v>
      </x:c>
      <x:c r="B315" s="37" t="str">
        <x:v>資料管線自癒 Agent</x:v>
      </x:c>
      <x:c r="C315" s="37" t="str">
        <x:v>Data／DataOps</x:v>
      </x:c>
      <x:c r="D315" s="37" t="str">
        <x:v>管線營運</x:v>
      </x:c>
      <x:c r="E315" s="37" t="str">
        <x:v>資料、資訊、分析、內控</x:v>
      </x:c>
      <x:c r="F315" s="37" t="str">
        <x:v>CDO、資料工程師、資料管理員、分析師</x:v>
      </x:c>
      <x:c r="G315" s="37" t="str">
        <x:v>現行作法對「依失敗類型重試、切換、補數並驗證」多靠人工彙整、個人經驗或事後處理，難以一致追蹤，造成決策延遲與重工。</x:v>
      </x:c>
      <x:c r="H315" s="37" t="str">
        <x:v>資料／事件接入；依失敗類型重試、切換、補數並驗證；證據與信心呈現；例外分流與人工覆核；降低人工值班成效追蹤；完整稽核軌跡</x:v>
      </x:c>
      <x:c r="I315" s="37" t="str">
        <x:v>語意分類與實體抽取；風險／信心評分；具證據的生成與摘要；專門模型焦點：依失敗類型重試、切換、補數並驗證</x:v>
      </x:c>
      <x:c r="J315" s="37" t="str">
        <x:v>持續監測事件，達門檻後建立案件、蒐集證據、指派責任並追蹤結案；高風險動作需人工核准</x:v>
      </x:c>
      <x:c r="K315" s="37" t="str">
        <x:v>L3 可執行／關鍵核准</x:v>
      </x:c>
      <x:c r="L315" s="37" t="str">
        <x:v>資料目錄、Schema、管線、品質規則、查詢、血緣、權限與使用紀錄</x:v>
      </x:c>
      <x:c r="M315" s="37" t="str">
        <x:v>Data Lakehouse、ETL、BI、DB、MDM、IAM、Data Catalog</x:v>
      </x:c>
      <x:c r="N315" s="37" t="str">
        <x:v>企業資料快速增加，使用者需知道資料可不可信、從哪來、改動會影響誰。Demo：匯入一組去識別資料，觸發「依失敗類型重試、切換、補數並驗證」，由系統提出證據、建議與下一步；使用者核准後回寫任務，最後呈現「降低人工值班」前後差異。</x:v>
      </x:c>
      <x:c r="O315" s="37" t="str">
        <x:v>中低</x:v>
      </x:c>
      <x:c r="P315" s="37" t="str">
        <x:v>鄰近既有能力：原有資料治理可能有目錄與報表；本群聚焦主動品質、語意契約與可執行 DataOps。本 App 的獨立邊界是「依失敗類型重試、切換、補數並驗證」，主要產出為「降低人工值班」，不是一般登錄、查詢或看板。</x:v>
      </x:c>
      <x:c r="Q315" s="38" t="n">
        <x:v>5</x:v>
      </x:c>
      <x:c r="R315" s="38" t="n">
        <x:v>3</x:v>
      </x:c>
      <x:c r="S315" s="38" t="str">
        <x:v>P1</x:v>
      </x:c>
      <x:c r="T315" s="38" t="n">
        <x:v>7</x:v>
      </x:c>
      <x:c r="U315" s="39" t="str">
        <x:v>Wave 2 高價值套件</x:v>
      </x:c>
    </x:row>
    <x:row r="316" ht="86" customHeight="1">
      <x:c r="A316" s="36" t="str">
        <x:v>JV-312</x:v>
      </x:c>
      <x:c r="B316" s="37" t="str">
        <x:v>回填任務風險規劃器</x:v>
      </x:c>
      <x:c r="C316" s="37" t="str">
        <x:v>Data／DataOps</x:v>
      </x:c>
      <x:c r="D316" s="37" t="str">
        <x:v>管線營運</x:v>
      </x:c>
      <x:c r="E316" s="37" t="str">
        <x:v>資料、資訊、分析、內控</x:v>
      </x:c>
      <x:c r="F316" s="37" t="str">
        <x:v>CDO、資料工程師、資料管理員、分析師</x:v>
      </x:c>
      <x:c r="G316" s="37" t="str">
        <x:v>現行作法對「估算回填成本、鎖定與下游影響」多靠人工彙整、個人經驗或事後處理，難以一致追蹤，造成決策延遲與重工。</x:v>
      </x:c>
      <x:c r="H316" s="37" t="str">
        <x:v>資料／事件接入；估算回填成本、鎖定與下游影響；證據與信心呈現；例外分流與人工覆核；安全補歷史資料成效追蹤；完整稽核軌跡</x:v>
      </x:c>
      <x:c r="I316" s="37" t="str">
        <x:v>預測與情境模擬；多目標最佳化；不確定性呈現；專門模型焦點：估算回填成本、鎖定與下游影響</x:v>
      </x:c>
      <x:c r="J316" s="37" t="str">
        <x:v>定期掃描資料與外部訊號，提出優先序與建議；經核准後同步任務與更新來源系統</x:v>
      </x:c>
      <x:c r="K316" s="37" t="str">
        <x:v>L3 可執行／關鍵核准</x:v>
      </x:c>
      <x:c r="L316" s="37" t="str">
        <x:v>資料目錄、Schema、管線、品質規則、查詢、血緣、權限與使用紀錄</x:v>
      </x:c>
      <x:c r="M316" s="37" t="str">
        <x:v>Data Lakehouse、ETL、BI、DB、MDM、IAM、Data Catalog</x:v>
      </x:c>
      <x:c r="N316" s="37" t="str">
        <x:v>企業資料快速增加，使用者需知道資料可不可信、從哪來、改動會影響誰。Demo：匯入一組去識別資料，觸發「估算回填成本、鎖定與下游影響」，由系統提出證據、建議與下一步；使用者核准後回寫任務，最後呈現「安全補歷史資料」前後差異。</x:v>
      </x:c>
      <x:c r="O316" s="37" t="str">
        <x:v>低</x:v>
      </x:c>
      <x:c r="P316" s="37" t="str">
        <x:v>鄰近既有能力：原有資料治理可能有目錄與報表；本群聚焦主動品質、語意契約與可執行 DataOps。本 App 的獨立邊界是「估算回填成本、鎖定與下游影響」，主要產出為「安全補歷史資料」，不是一般登錄、查詢或看板。</x:v>
      </x:c>
      <x:c r="Q316" s="38" t="n">
        <x:v>5</x:v>
      </x:c>
      <x:c r="R316" s="38" t="n">
        <x:v>4</x:v>
      </x:c>
      <x:c r="S316" s="38" t="str">
        <x:v>P1</x:v>
      </x:c>
      <x:c r="T316" s="38" t="n">
        <x:v>9</x:v>
      </x:c>
      <x:c r="U316" s="39" t="str">
        <x:v>Wave 2 高價值套件</x:v>
      </x:c>
    </x:row>
    <x:row r="317" ht="86" customHeight="1">
      <x:c r="A317" s="36" t="str">
        <x:v>JV-313</x:v>
      </x:c>
      <x:c r="B317" s="37" t="str">
        <x:v>管線容量預測器</x:v>
      </x:c>
      <x:c r="C317" s="37" t="str">
        <x:v>Data／DataOps</x:v>
      </x:c>
      <x:c r="D317" s="37" t="str">
        <x:v>管線營運</x:v>
      </x:c>
      <x:c r="E317" s="37" t="str">
        <x:v>資料、資訊、分析、內控</x:v>
      </x:c>
      <x:c r="F317" s="37" t="str">
        <x:v>CDO、資料工程師、資料管理員、分析師</x:v>
      </x:c>
      <x:c r="G317" s="37" t="str">
        <x:v>現行作法對「預測資料量與運算窗口的容量缺口」多靠人工彙整、個人經驗或事後處理，難以一致追蹤，造成決策延遲與重工。</x:v>
      </x:c>
      <x:c r="H317" s="37" t="str">
        <x:v>資料／事件接入；預測資料量與運算窗口的容量缺口；證據與信心呈現；例外分流與人工覆核；提前擴容成效追蹤；完整稽核軌跡</x:v>
      </x:c>
      <x:c r="I317" s="37" t="str">
        <x:v>跨文件／跨系統比對；圖譜推理；差異與缺口生成；專門模型焦點：預測資料量與運算窗口的容量缺口</x:v>
      </x:c>
      <x:c r="J317" s="37" t="str">
        <x:v>以人機協作模式先產生草案與證據包，接受修改後執行核准步驟並建立完整稽核軌跡</x:v>
      </x:c>
      <x:c r="K317" s="37" t="str">
        <x:v>L3 可執行／關鍵核准</x:v>
      </x:c>
      <x:c r="L317" s="37" t="str">
        <x:v>資料目錄、Schema、管線、品質規則、查詢、血緣、權限與使用紀錄</x:v>
      </x:c>
      <x:c r="M317" s="37" t="str">
        <x:v>Data Lakehouse、ETL、BI、DB、MDM、IAM、Data Catalog</x:v>
      </x:c>
      <x:c r="N317" s="37" t="str">
        <x:v>企業資料快速增加，使用者需知道資料可不可信、從哪來、改動會影響誰。Demo：匯入一組去識別資料，觸發「預測資料量與運算窗口的容量缺口」，由系統提出證據、建議與下一步；使用者核准後回寫任務，最後呈現「提前擴容」前後差異。</x:v>
      </x:c>
      <x:c r="O317" s="37" t="str">
        <x:v>低</x:v>
      </x:c>
      <x:c r="P317" s="37" t="str">
        <x:v>鄰近既有能力：原有資料治理可能有目錄與報表；本群聚焦主動品質、語意契約與可執行 DataOps。本 App 的獨立邊界是「預測資料量與運算窗口的容量缺口」，主要產出為「提前擴容」，不是一般登錄、查詢或看板。</x:v>
      </x:c>
      <x:c r="Q317" s="38" t="n">
        <x:v>4</x:v>
      </x:c>
      <x:c r="R317" s="38" t="n">
        <x:v>4</x:v>
      </x:c>
      <x:c r="S317" s="38" t="str">
        <x:v>P1</x:v>
      </x:c>
      <x:c r="T317" s="38" t="n">
        <x:v>9</x:v>
      </x:c>
      <x:c r="U317" s="39" t="str">
        <x:v>Wave 2 高價值套件</x:v>
      </x:c>
    </x:row>
    <x:row r="318" ht="86" customHeight="1">
      <x:c r="A318" s="36" t="str">
        <x:v>JV-314</x:v>
      </x:c>
      <x:c r="B318" s="37" t="str">
        <x:v>資料作業成本異常獵人</x:v>
      </x:c>
      <x:c r="C318" s="37" t="str">
        <x:v>Data／DataOps</x:v>
      </x:c>
      <x:c r="D318" s="37" t="str">
        <x:v>管線營運</x:v>
      </x:c>
      <x:c r="E318" s="37" t="str">
        <x:v>資料、資訊、分析、內控</x:v>
      </x:c>
      <x:c r="F318" s="37" t="str">
        <x:v>CDO、資料工程師、資料管理員、分析師</x:v>
      </x:c>
      <x:c r="G318" s="37" t="str">
        <x:v>現行作法對「辨識低效查詢、重複運算與失控回填」多靠人工彙整、個人經驗或事後處理，難以一致追蹤，造成決策延遲與重工。</x:v>
      </x:c>
      <x:c r="H318" s="37" t="str">
        <x:v>資料／事件接入；辨識低效查詢、重複運算與失控回填；證據與信心呈現；例外分流與人工覆核；降低雲端成本成效追蹤；完整稽核軌跡</x:v>
      </x:c>
      <x:c r="I318" s="37" t="str">
        <x:v>異常偵測；因果線索分析；可解釋的建議排序；專門模型焦點：辨識低效查詢、重複運算與失控回填</x:v>
      </x:c>
      <x:c r="J318" s="37" t="str">
        <x:v>依目標自主規劃步驟、呼叫核准工具、遇到例外改走人工佇列，完成後驗證結果並回報</x:v>
      </x:c>
      <x:c r="K318" s="37" t="str">
        <x:v>L3 可執行／關鍵核准</x:v>
      </x:c>
      <x:c r="L318" s="37" t="str">
        <x:v>資料目錄、Schema、管線、品質規則、查詢、血緣、權限與使用紀錄</x:v>
      </x:c>
      <x:c r="M318" s="37" t="str">
        <x:v>Data Lakehouse、ETL、BI、DB、MDM、IAM、Data Catalog</x:v>
      </x:c>
      <x:c r="N318" s="37" t="str">
        <x:v>企業資料快速增加，使用者需知道資料可不可信、從哪來、改動會影響誰。Demo：匯入一組去識別資料，觸發「辨識低效查詢、重複運算與失控回填」，由系統提出證據、建議與下一步；使用者核准後回寫任務，最後呈現「降低雲端成本」前後差異。</x:v>
      </x:c>
      <x:c r="O318" s="37" t="str">
        <x:v>低</x:v>
      </x:c>
      <x:c r="P318" s="37" t="str">
        <x:v>鄰近既有能力：原有資料治理可能有目錄與報表；本群聚焦主動品質、語意契約與可執行 DataOps。本 App 的獨立邊界是「辨識低效查詢、重複運算與失控回填」，主要產出為「降低雲端成本」，不是一般登錄、查詢或看板。</x:v>
      </x:c>
      <x:c r="Q318" s="38" t="n">
        <x:v>5</x:v>
      </x:c>
      <x:c r="R318" s="38" t="n">
        <x:v>4</x:v>
      </x:c>
      <x:c r="S318" s="38" t="str">
        <x:v>P1</x:v>
      </x:c>
      <x:c r="T318" s="38" t="n">
        <x:v>9</x:v>
      </x:c>
      <x:c r="U318" s="39" t="str">
        <x:v>Wave 2 高價值套件</x:v>
      </x:c>
    </x:row>
    <x:row r="319" ht="86" customHeight="1">
      <x:c r="A319" s="36" t="str">
        <x:v>JV-315</x:v>
      </x:c>
      <x:c r="B319" s="37" t="str">
        <x:v>資料事件溝通 Agent</x:v>
      </x:c>
      <x:c r="C319" s="37" t="str">
        <x:v>Data／DataOps</x:v>
      </x:c>
      <x:c r="D319" s="37" t="str">
        <x:v>管線營運</x:v>
      </x:c>
      <x:c r="E319" s="37" t="str">
        <x:v>資料、資訊、分析、內控</x:v>
      </x:c>
      <x:c r="F319" s="37" t="str">
        <x:v>CDO、資料工程師、資料管理員、分析師</x:v>
      </x:c>
      <x:c r="G319" s="37" t="str">
        <x:v>現行作法對「依影響對使用者發出進度、替代方案與復原通知」多靠人工彙整、個人經驗或事後處理，難以一致追蹤，造成決策延遲與重工。</x:v>
      </x:c>
      <x:c r="H319" s="37" t="str">
        <x:v>資料／事件接入；依影響對使用者發出進度、替代方案與復原通知；證據與信心呈現；例外分流與人工覆核；改善透明度成效追蹤；完整稽核軌跡</x:v>
      </x:c>
      <x:c r="I319" s="37" t="str">
        <x:v>RAG 檢索與來源引用；規則＋模型混合判斷；矛盾檢查；專門模型焦點：依影響對使用者發出進度、替代方案與復原通知</x:v>
      </x:c>
      <x:c r="J319" s="37" t="str">
        <x:v>與多個專業 Agent 協作拆解任務，保留交接證據、逾時升級並在失敗時安全回滾</x:v>
      </x:c>
      <x:c r="K319" s="37" t="str">
        <x:v>L2 建議／需核准</x:v>
      </x:c>
      <x:c r="L319" s="37" t="str">
        <x:v>資料目錄、Schema、管線、品質規則、查詢、血緣、權限與使用紀錄</x:v>
      </x:c>
      <x:c r="M319" s="37" t="str">
        <x:v>Data Lakehouse、ETL、BI、DB、MDM、IAM、Data Catalog</x:v>
      </x:c>
      <x:c r="N319" s="37" t="str">
        <x:v>企業資料快速增加，使用者需知道資料可不可信、從哪來、改動會影響誰。Demo：匯入一組去識別資料，觸發「依影響對使用者發出進度、替代方案與復原通知」，由系統提出證據、建議與下一步；使用者核准後回寫任務，最後呈現「改善透明度」前後差異。</x:v>
      </x:c>
      <x:c r="O319" s="37" t="str">
        <x:v>中低</x:v>
      </x:c>
      <x:c r="P319" s="37" t="str">
        <x:v>鄰近既有能力：原有資料治理可能有目錄與報表；本群聚焦主動品質、語意契約與可執行 DataOps。本 App 的獨立邊界是「依影響對使用者發出進度、替代方案與復原通知」，主要產出為「改善透明度」，不是一般登錄、查詢或看板。</x:v>
      </x:c>
      <x:c r="Q319" s="38" t="n">
        <x:v>5</x:v>
      </x:c>
      <x:c r="R319" s="38" t="n">
        <x:v>5</x:v>
      </x:c>
      <x:c r="S319" s="38" t="str">
        <x:v>P1</x:v>
      </x:c>
      <x:c r="T319" s="38" t="n">
        <x:v>11</x:v>
      </x:c>
      <x:c r="U319" s="39" t="str">
        <x:v>Wave 2 高價值套件</x:v>
      </x:c>
    </x:row>
    <x:row r="320" ht="86" customHeight="1">
      <x:c r="A320" s="36" t="str">
        <x:v>JV-316</x:v>
      </x:c>
      <x:c r="B320" s="37" t="str">
        <x:v>產線情境數位孿生實驗室</x:v>
      </x:c>
      <x:c r="C320" s="37" t="str">
        <x:v>Industrial AI 新應用</x:v>
      </x:c>
      <x:c r="D320" s="37" t="str">
        <x:v>數位孿生</x:v>
      </x:c>
      <x:c r="E320" s="37" t="str">
        <x:v>製造、工程、製程、廠務、品質</x:v>
      </x:c>
      <x:c r="F320" s="37" t="str">
        <x:v>廠長、製程工程師、工業工程師、設備工程師</x:v>
      </x:c>
      <x:c r="G320" s="37" t="str">
        <x:v>現行作法對「模擬訂單、設備與人力變動對 KPI 的影響」多靠人工彙整、個人經驗或事後處理，難以一致追蹤，造成決策延遲與重工。</x:v>
      </x:c>
      <x:c r="H320" s="37" t="str">
        <x:v>資料／事件接入；模擬訂單、設備與人力變動對 KPI 的影響；證據與信心呈現；例外分流與人工覆核；先試再改成效追蹤；完整稽核軌跡</x:v>
      </x:c>
      <x:c r="I320" s="37" t="str">
        <x:v>語意分類與實體抽取；風險／信心評分；具證據的生成與摘要；專門模型焦點：模擬訂單、設備與人力變動對 KPI 的影響</x:v>
      </x:c>
      <x:c r="J320" s="37" t="str">
        <x:v>持續監測事件，達門檻後建立案件、蒐集證據、指派責任並追蹤結案；高風險動作需人工核准</x:v>
      </x:c>
      <x:c r="K320" s="37" t="str">
        <x:v>L3 可執行／關鍵核准</x:v>
      </x:c>
      <x:c r="L320" s="37" t="str">
        <x:v>感測、參數、配方、影像、工單、品質、能源、維護與環境資料</x:v>
      </x:c>
      <x:c r="M320" s="37" t="str">
        <x:v>MES、SCADA、PLC、QMS、PLM、EAM、ERP、數位孿生平台</x:v>
      </x:c>
      <x:c r="N320" s="37" t="str">
        <x:v>複雜產線需要在品質、產能、能耗與風險間做即時折衷，而非只顯示看板。Demo：匯入一組去識別資料，觸發「模擬訂單、設備與人力變動對 KPI 的影響」，由系統提出證據、建議與下一步；使用者核准後回寫任務，最後呈現「先試再改」前後差異。</x:v>
      </x:c>
      <x:c r="O320" s="37" t="str">
        <x:v>中</x:v>
      </x:c>
      <x:c r="P320" s="37" t="str">
        <x:v>鄰近既有能力：原有 MES/QMS/EAM 可能記錄與告警；本群聚焦跨目標最佳化、因果推理與自主建議。本 App 的獨立邊界是「模擬訂單、設備與人力變動對 KPI 的影響」，主要產出為「先試再改」，不是一般登錄、查詢或看板。</x:v>
      </x:c>
      <x:c r="Q320" s="38" t="n">
        <x:v>5</x:v>
      </x:c>
      <x:c r="R320" s="38" t="n">
        <x:v>4</x:v>
      </x:c>
      <x:c r="S320" s="38" t="str">
        <x:v>P1</x:v>
      </x:c>
      <x:c r="T320" s="38" t="n">
        <x:v>9</x:v>
      </x:c>
      <x:c r="U320" s="39" t="str">
        <x:v>Wave 2 高價值套件</x:v>
      </x:c>
    </x:row>
    <x:row r="321" ht="86" customHeight="1">
      <x:c r="A321" s="36" t="str">
        <x:v>JV-317</x:v>
      </x:c>
      <x:c r="B321" s="37" t="str">
        <x:v>製程參數反事實分析器</x:v>
      </x:c>
      <x:c r="C321" s="37" t="str">
        <x:v>Industrial AI 新應用</x:v>
      </x:c>
      <x:c r="D321" s="37" t="str">
        <x:v>數位孿生</x:v>
      </x:c>
      <x:c r="E321" s="37" t="str">
        <x:v>製造、工程、製程、廠務、品質</x:v>
      </x:c>
      <x:c r="F321" s="37" t="str">
        <x:v>廠長、製程工程師、工業工程師、設備工程師</x:v>
      </x:c>
      <x:c r="G321" s="37" t="str">
        <x:v>現行作法對「回答若改變特定參數結果會如何」多靠人工彙整、個人經驗或事後處理，難以一致追蹤，造成決策延遲與重工。</x:v>
      </x:c>
      <x:c r="H321" s="37" t="str">
        <x:v>資料／事件接入；回答若改變特定參數結果會如何；證據與信心呈現；例外分流與人工覆核；支援因果改善成效追蹤；完整稽核軌跡</x:v>
      </x:c>
      <x:c r="I321" s="37" t="str">
        <x:v>預測與情境模擬；多目標最佳化；不確定性呈現；專門模型焦點：回答若改變特定參數結果會如何</x:v>
      </x:c>
      <x:c r="J321" s="37" t="str">
        <x:v>定期掃描資料與外部訊號，提出優先序與建議；經核准後同步任務與更新來源系統</x:v>
      </x:c>
      <x:c r="K321" s="37" t="str">
        <x:v>L2 建議／需核准</x:v>
      </x:c>
      <x:c r="L321" s="37" t="str">
        <x:v>感測、參數、配方、影像、工單、品質、能源、維護與環境資料</x:v>
      </x:c>
      <x:c r="M321" s="37" t="str">
        <x:v>MES、SCADA、PLC、QMS、PLM、EAM、ERP、數位孿生平台</x:v>
      </x:c>
      <x:c r="N321" s="37" t="str">
        <x:v>複雜產線需要在品質、產能、能耗與風險間做即時折衷，而非只顯示看板。Demo：匯入一組去識別資料，觸發「回答若改變特定參數結果會如何」，由系統提出證據、建議與下一步；使用者核准後回寫任務，最後呈現「支援因果改善」前後差異。</x:v>
      </x:c>
      <x:c r="O321" s="37" t="str">
        <x:v>中低</x:v>
      </x:c>
      <x:c r="P321" s="37" t="str">
        <x:v>鄰近既有能力：原有 MES/QMS/EAM 可能記錄與告警；本群聚焦跨目標最佳化、因果推理與自主建議。本 App 的獨立邊界是「回答若改變特定參數結果會如何」，主要產出為「支援因果改善」，不是一般登錄、查詢或看板。</x:v>
      </x:c>
      <x:c r="Q321" s="38" t="n">
        <x:v>5</x:v>
      </x:c>
      <x:c r="R321" s="38" t="n">
        <x:v>5</x:v>
      </x:c>
      <x:c r="S321" s="38" t="str">
        <x:v>P1</x:v>
      </x:c>
      <x:c r="T321" s="38" t="n">
        <x:v>11</x:v>
      </x:c>
      <x:c r="U321" s="39" t="str">
        <x:v>Wave 2 高價值套件</x:v>
      </x:c>
    </x:row>
    <x:row r="322" ht="86" customHeight="1">
      <x:c r="A322" s="36" t="str">
        <x:v>JV-318</x:v>
      </x:c>
      <x:c r="B322" s="37" t="str">
        <x:v>瓶頸移轉模擬器</x:v>
      </x:c>
      <x:c r="C322" s="37" t="str">
        <x:v>Industrial AI 新應用</x:v>
      </x:c>
      <x:c r="D322" s="37" t="str">
        <x:v>數位孿生</x:v>
      </x:c>
      <x:c r="E322" s="37" t="str">
        <x:v>製造、工程、製程、廠務、品質</x:v>
      </x:c>
      <x:c r="F322" s="37" t="str">
        <x:v>廠長、製程工程師、工業工程師、設備工程師</x:v>
      </x:c>
      <x:c r="G322" s="37" t="str">
        <x:v>現行作法對「預測改善一站後瓶頸會移到何處」多靠人工彙整、個人經驗或事後處理，難以一致追蹤，造成決策延遲與重工。</x:v>
      </x:c>
      <x:c r="H322" s="37" t="str">
        <x:v>資料／事件接入；預測改善一站後瓶頸會移到何處；證據與信心呈現；例外分流與人工覆核；避免局部最佳成效追蹤；完整稽核軌跡</x:v>
      </x:c>
      <x:c r="I322" s="37" t="str">
        <x:v>跨文件／跨系統比對；圖譜推理；差異與缺口生成；專門模型焦點：預測改善一站後瓶頸會移到何處</x:v>
      </x:c>
      <x:c r="J322" s="37" t="str">
        <x:v>以人機協作模式先產生草案與證據包，接受修改後執行核准步驟並建立完整稽核軌跡</x:v>
      </x:c>
      <x:c r="K322" s="37" t="str">
        <x:v>L2 建議／需核准</x:v>
      </x:c>
      <x:c r="L322" s="37" t="str">
        <x:v>感測、參數、配方、影像、工單、品質、能源、維護與環境資料</x:v>
      </x:c>
      <x:c r="M322" s="37" t="str">
        <x:v>MES、SCADA、PLC、QMS、PLM、EAM、ERP、數位孿生平台</x:v>
      </x:c>
      <x:c r="N322" s="37" t="str">
        <x:v>複雜產線需要在品質、產能、能耗與風險間做即時折衷，而非只顯示看板。Demo：匯入一組去識別資料，觸發「預測改善一站後瓶頸會移到何處」，由系統提出證據、建議與下一步；使用者核准後回寫任務，最後呈現「避免局部最佳」前後差異。</x:v>
      </x:c>
      <x:c r="O322" s="37" t="str">
        <x:v>中低</x:v>
      </x:c>
      <x:c r="P322" s="37" t="str">
        <x:v>鄰近既有能力：原有 MES/QMS/EAM 可能記錄與告警；本群聚焦跨目標最佳化、因果推理與自主建議。本 App 的獨立邊界是「預測改善一站後瓶頸會移到何處」，主要產出為「避免局部最佳」，不是一般登錄、查詢或看板。</x:v>
      </x:c>
      <x:c r="Q322" s="38" t="n">
        <x:v>5</x:v>
      </x:c>
      <x:c r="R322" s="38" t="n">
        <x:v>5</x:v>
      </x:c>
      <x:c r="S322" s="38" t="str">
        <x:v>P1</x:v>
      </x:c>
      <x:c r="T322" s="38" t="n">
        <x:v>11</x:v>
      </x:c>
      <x:c r="U322" s="39" t="str">
        <x:v>Wave 2 高價值套件</x:v>
      </x:c>
    </x:row>
    <x:row r="323" ht="86" customHeight="1">
      <x:c r="A323" s="36" t="str">
        <x:v>JV-319</x:v>
      </x:c>
      <x:c r="B323" s="37" t="str">
        <x:v>虛實偏差校準 Agent</x:v>
      </x:c>
      <x:c r="C323" s="37" t="str">
        <x:v>Industrial AI 新應用</x:v>
      </x:c>
      <x:c r="D323" s="37" t="str">
        <x:v>數位孿生</x:v>
      </x:c>
      <x:c r="E323" s="37" t="str">
        <x:v>製造、工程、製程、廠務、品質</x:v>
      </x:c>
      <x:c r="F323" s="37" t="str">
        <x:v>廠長、製程工程師、工業工程師、設備工程師</x:v>
      </x:c>
      <x:c r="G323" s="37" t="str">
        <x:v>現行作法對「以現場資料持續修正孿生模型」多靠人工彙整、個人經驗或事後處理，難以一致追蹤，造成決策延遲與重工。</x:v>
      </x:c>
      <x:c r="H323" s="37" t="str">
        <x:v>資料／事件接入；以現場資料持續修正孿生模型；證據與信心呈現；例外分流與人工覆核；維持模擬可信度成效追蹤；完整稽核軌跡</x:v>
      </x:c>
      <x:c r="I323" s="37" t="str">
        <x:v>異常偵測；因果線索分析；可解釋的建議排序；專門模型焦點：以現場資料持續修正孿生模型</x:v>
      </x:c>
      <x:c r="J323" s="37" t="str">
        <x:v>依目標自主規劃步驟、呼叫核准工具、遇到例外改走人工佇列，完成後驗證結果並回報</x:v>
      </x:c>
      <x:c r="K323" s="37" t="str">
        <x:v>L2 建議／需核准</x:v>
      </x:c>
      <x:c r="L323" s="37" t="str">
        <x:v>感測、參數、配方、影像、工單、品質、能源、維護與環境資料</x:v>
      </x:c>
      <x:c r="M323" s="37" t="str">
        <x:v>MES、SCADA、PLC、QMS、PLM、EAM、ERP、數位孿生平台</x:v>
      </x:c>
      <x:c r="N323" s="37" t="str">
        <x:v>複雜產線需要在品質、產能、能耗與風險間做即時折衷，而非只顯示看板。Demo：匯入一組去識別資料，觸發「以現場資料持續修正孿生模型」，由系統提出證據、建議與下一步；使用者核准後回寫任務，最後呈現「維持模擬可信度」前後差異。</x:v>
      </x:c>
      <x:c r="O323" s="37" t="str">
        <x:v>中</x:v>
      </x:c>
      <x:c r="P323" s="37" t="str">
        <x:v>鄰近既有能力：原有 MES/QMS/EAM 可能記錄與告警；本群聚焦跨目標最佳化、因果推理與自主建議。本 App 的獨立邊界是「以現場資料持續修正孿生模型」，主要產出為「維持模擬可信度」，不是一般登錄、查詢或看板。</x:v>
      </x:c>
      <x:c r="Q323" s="38" t="n">
        <x:v>4</x:v>
      </x:c>
      <x:c r="R323" s="38" t="n">
        <x:v>5</x:v>
      </x:c>
      <x:c r="S323" s="38" t="str">
        <x:v>P1</x:v>
      </x:c>
      <x:c r="T323" s="38" t="n">
        <x:v>11</x:v>
      </x:c>
      <x:c r="U323" s="39" t="str">
        <x:v>Wave 2 高價值套件</x:v>
      </x:c>
    </x:row>
    <x:row r="324" ht="86" customHeight="1">
      <x:c r="A324" s="36" t="str">
        <x:v>JV-320</x:v>
      </x:c>
      <x:c r="B324" s="37" t="str">
        <x:v>擴產投資方案比較器</x:v>
      </x:c>
      <x:c r="C324" s="37" t="str">
        <x:v>Industrial AI 新應用</x:v>
      </x:c>
      <x:c r="D324" s="37" t="str">
        <x:v>數位孿生</x:v>
      </x:c>
      <x:c r="E324" s="37" t="str">
        <x:v>製造、工程、製程、廠務、品質</x:v>
      </x:c>
      <x:c r="F324" s="37" t="str">
        <x:v>廠長、製程工程師、工業工程師、設備工程師</x:v>
      </x:c>
      <x:c r="G324" s="37" t="str">
        <x:v>現行作法對「比較設備、班次、外包與良率改善組合」多靠人工彙整、個人經驗或事後處理，難以一致追蹤，造成決策延遲與重工。</x:v>
      </x:c>
      <x:c r="H324" s="37" t="str">
        <x:v>資料／事件接入；比較設備、班次、外包與良率改善組合；證據與信心呈現；例外分流與人工覆核；優化資本支出成效追蹤；完整稽核軌跡</x:v>
      </x:c>
      <x:c r="I324" s="37" t="str">
        <x:v>RAG 檢索與來源引用；規則＋模型混合判斷；矛盾檢查；專門模型焦點：比較設備、班次、外包與良率改善組合</x:v>
      </x:c>
      <x:c r="J324" s="37" t="str">
        <x:v>與多個專業 Agent 協作拆解任務，保留交接證據、逾時升級並在失敗時安全回滾</x:v>
      </x:c>
      <x:c r="K324" s="37" t="str">
        <x:v>L2 建議／需核准</x:v>
      </x:c>
      <x:c r="L324" s="37" t="str">
        <x:v>感測、參數、配方、影像、工單、品質、能源、維護與環境資料</x:v>
      </x:c>
      <x:c r="M324" s="37" t="str">
        <x:v>MES、SCADA、PLC、QMS、PLM、EAM、ERP、數位孿生平台</x:v>
      </x:c>
      <x:c r="N324" s="37" t="str">
        <x:v>複雜產線需要在品質、產能、能耗與風險間做即時折衷，而非只顯示看板。Demo：匯入一組去識別資料，觸發「比較設備、班次、外包與良率改善組合」，由系統提出證據、建議與下一步；使用者核准後回寫任務，最後呈現「優化資本支出」前後差異。</x:v>
      </x:c>
      <x:c r="O324" s="37" t="str">
        <x:v>中低</x:v>
      </x:c>
      <x:c r="P324" s="37" t="str">
        <x:v>鄰近既有能力：原有 MES/QMS/EAM 可能記錄與告警；本群聚焦跨目標最佳化、因果推理與自主建議。本 App 的獨立邊界是「比較設備、班次、外包與良率改善組合」，主要產出為「優化資本支出」，不是一般登錄、查詢或看板。</x:v>
      </x:c>
      <x:c r="Q324" s="38" t="n">
        <x:v>5</x:v>
      </x:c>
      <x:c r="R324" s="38" t="n">
        <x:v>5</x:v>
      </x:c>
      <x:c r="S324" s="38" t="str">
        <x:v>P1</x:v>
      </x:c>
      <x:c r="T324" s="38" t="n">
        <x:v>11</x:v>
      </x:c>
      <x:c r="U324" s="39" t="str">
        <x:v>Wave 2 高價值套件</x:v>
      </x:c>
    </x:row>
    <x:row r="325" ht="86" customHeight="1">
      <x:c r="A325" s="36" t="str">
        <x:v>JV-321</x:v>
      </x:c>
      <x:c r="B325" s="37" t="str">
        <x:v>配方多目標最佳化器</x:v>
      </x:c>
      <x:c r="C325" s="37" t="str">
        <x:v>Industrial AI 新應用</x:v>
      </x:c>
      <x:c r="D325" s="37" t="str">
        <x:v>配方與 Recipe AI</x:v>
      </x:c>
      <x:c r="E325" s="37" t="str">
        <x:v>製造、工程、製程、廠務、品質</x:v>
      </x:c>
      <x:c r="F325" s="37" t="str">
        <x:v>廠長、製程工程師、工業工程師、設備工程師</x:v>
      </x:c>
      <x:c r="G325" s="37" t="str">
        <x:v>現行作法對「同時平衡品質、成本、能耗與材料限制」多靠人工彙整、個人經驗或事後處理，難以一致追蹤，造成決策延遲與重工。</x:v>
      </x:c>
      <x:c r="H325" s="37" t="str">
        <x:v>資料／事件接入；同時平衡品質、成本、能耗與材料限制；證據與信心呈現；例外分流與人工覆核；找可行最佳配方成效追蹤；完整稽核軌跡</x:v>
      </x:c>
      <x:c r="I325" s="37" t="str">
        <x:v>語意分類與實體抽取；風險／信心評分；具證據的生成與摘要；專門模型焦點：同時平衡品質、成本、能耗與材料限制</x:v>
      </x:c>
      <x:c r="J325" s="37" t="str">
        <x:v>持續監測事件，達門檻後建立案件、蒐集證據、指派責任並追蹤結案；高風險動作需人工核准</x:v>
      </x:c>
      <x:c r="K325" s="37" t="str">
        <x:v>L3 可執行／關鍵核准</x:v>
      </x:c>
      <x:c r="L325" s="37" t="str">
        <x:v>感測、參數、配方、影像、工單、品質、能源、維護與環境資料</x:v>
      </x:c>
      <x:c r="M325" s="37" t="str">
        <x:v>MES、SCADA、PLC、QMS、PLM、EAM、ERP、數位孿生平台</x:v>
      </x:c>
      <x:c r="N325" s="37" t="str">
        <x:v>複雜產線需要在品質、產能、能耗與風險間做即時折衷，而非只顯示看板。Demo：匯入一組去識別資料，觸發「同時平衡品質、成本、能耗與材料限制」，由系統提出證據、建議與下一步；使用者核准後回寫任務，最後呈現「找可行最佳配方」前後差異。</x:v>
      </x:c>
      <x:c r="O325" s="37" t="str">
        <x:v>中</x:v>
      </x:c>
      <x:c r="P325" s="37" t="str">
        <x:v>鄰近既有能力：原有 MES/QMS/EAM 可能記錄與告警；本群聚焦跨目標最佳化、因果推理與自主建議。本 App 的獨立邊界是「同時平衡品質、成本、能耗與材料限制」，主要產出為「找可行最佳配方」，不是一般登錄、查詢或看板。</x:v>
      </x:c>
      <x:c r="Q325" s="38" t="n">
        <x:v>5</x:v>
      </x:c>
      <x:c r="R325" s="38" t="n">
        <x:v>4</x:v>
      </x:c>
      <x:c r="S325" s="38" t="str">
        <x:v>P1</x:v>
      </x:c>
      <x:c r="T325" s="38" t="n">
        <x:v>9</x:v>
      </x:c>
      <x:c r="U325" s="39" t="str">
        <x:v>Wave 2 高價值套件</x:v>
      </x:c>
    </x:row>
    <x:row r="326" ht="86" customHeight="1">
      <x:c r="A326" s="36" t="str">
        <x:v>JV-322</x:v>
      </x:c>
      <x:c r="B326" s="37" t="str">
        <x:v>配方放大量產轉譯器</x:v>
      </x:c>
      <x:c r="C326" s="37" t="str">
        <x:v>Industrial AI 新應用</x:v>
      </x:c>
      <x:c r="D326" s="37" t="str">
        <x:v>配方與 Recipe AI</x:v>
      </x:c>
      <x:c r="E326" s="37" t="str">
        <x:v>製造、工程、製程、廠務、品質</x:v>
      </x:c>
      <x:c r="F326" s="37" t="str">
        <x:v>廠長、製程工程師、工業工程師、設備工程師</x:v>
      </x:c>
      <x:c r="G326" s="37" t="str">
        <x:v>現行作法對「預測實驗室到量產的尺度效應與參數調整」多靠人工彙整、個人經驗或事後處理，難以一致追蹤，造成決策延遲與重工。</x:v>
      </x:c>
      <x:c r="H326" s="37" t="str">
        <x:v>資料／事件接入；預測實驗室到量產的尺度效應與參數調整；證據與信心呈現；例外分流與人工覆核；縮短量產爬坡成效追蹤；完整稽核軌跡</x:v>
      </x:c>
      <x:c r="I326" s="37" t="str">
        <x:v>預測與情境模擬；多目標最佳化；不確定性呈現；專門模型焦點：預測實驗室到量產的尺度效應與參數調整</x:v>
      </x:c>
      <x:c r="J326" s="37" t="str">
        <x:v>定期掃描資料與外部訊號，提出優先序與建議；經核准後同步任務與更新來源系統</x:v>
      </x:c>
      <x:c r="K326" s="37" t="str">
        <x:v>L2 建議／需核准</x:v>
      </x:c>
      <x:c r="L326" s="37" t="str">
        <x:v>感測、參數、配方、影像、工單、品質、能源、維護與環境資料</x:v>
      </x:c>
      <x:c r="M326" s="37" t="str">
        <x:v>MES、SCADA、PLC、QMS、PLM、EAM、ERP、數位孿生平台</x:v>
      </x:c>
      <x:c r="N326" s="37" t="str">
        <x:v>複雜產線需要在品質、產能、能耗與風險間做即時折衷，而非只顯示看板。Demo：匯入一組去識別資料，觸發「預測實驗室到量產的尺度效應與參數調整」，由系統提出證據、建議與下一步；使用者核准後回寫任務，最後呈現「縮短量產爬坡」前後差異。</x:v>
      </x:c>
      <x:c r="O326" s="37" t="str">
        <x:v>中低</x:v>
      </x:c>
      <x:c r="P326" s="37" t="str">
        <x:v>鄰近既有能力：原有 MES/QMS/EAM 可能記錄與告警；本群聚焦跨目標最佳化、因果推理與自主建議。本 App 的獨立邊界是「預測實驗室到量產的尺度效應與參數調整」，主要產出為「縮短量產爬坡」，不是一般登錄、查詢或看板。</x:v>
      </x:c>
      <x:c r="Q326" s="38" t="n">
        <x:v>5</x:v>
      </x:c>
      <x:c r="R326" s="38" t="n">
        <x:v>5</x:v>
      </x:c>
      <x:c r="S326" s="38" t="str">
        <x:v>P1</x:v>
      </x:c>
      <x:c r="T326" s="38" t="n">
        <x:v>11</x:v>
      </x:c>
      <x:c r="U326" s="39" t="str">
        <x:v>Wave 2 高價值套件</x:v>
      </x:c>
    </x:row>
    <x:row r="327" ht="86" customHeight="1">
      <x:c r="A327" s="36" t="str">
        <x:v>JV-323</x:v>
      </x:c>
      <x:c r="B327" s="37" t="str">
        <x:v>原料批次適配 Agent</x:v>
      </x:c>
      <x:c r="C327" s="37" t="str">
        <x:v>Industrial AI 新應用</x:v>
      </x:c>
      <x:c r="D327" s="37" t="str">
        <x:v>配方與 Recipe AI</x:v>
      </x:c>
      <x:c r="E327" s="37" t="str">
        <x:v>製造、工程、製程、廠務、品質</x:v>
      </x:c>
      <x:c r="F327" s="37" t="str">
        <x:v>廠長、製程工程師、工業工程師、設備工程師</x:v>
      </x:c>
      <x:c r="G327" s="37" t="str">
        <x:v>現行作法對「依原料檢驗結果微調配方與製程窗」多靠人工彙整、個人經驗或事後處理，難以一致追蹤，造成決策延遲與重工。</x:v>
      </x:c>
      <x:c r="H327" s="37" t="str">
        <x:v>資料／事件接入；依原料檢驗結果微調配方與製程窗；證據與信心呈現；例外分流與人工覆核；穩定輸出成效追蹤；完整稽核軌跡</x:v>
      </x:c>
      <x:c r="I327" s="37" t="str">
        <x:v>跨文件／跨系統比對；圖譜推理；差異與缺口生成；專門模型焦點：依原料檢驗結果微調配方與製程窗</x:v>
      </x:c>
      <x:c r="J327" s="37" t="str">
        <x:v>以人機協作模式先產生草案與證據包，接受修改後執行核准步驟並建立完整稽核軌跡</x:v>
      </x:c>
      <x:c r="K327" s="37" t="str">
        <x:v>L2 建議／需核准</x:v>
      </x:c>
      <x:c r="L327" s="37" t="str">
        <x:v>感測、參數、配方、影像、工單、品質、能源、維護與環境資料</x:v>
      </x:c>
      <x:c r="M327" s="37" t="str">
        <x:v>MES、SCADA、PLC、QMS、PLM、EAM、ERP、數位孿生平台</x:v>
      </x:c>
      <x:c r="N327" s="37" t="str">
        <x:v>複雜產線需要在品質、產能、能耗與風險間做即時折衷，而非只顯示看板。Demo：匯入一組去識別資料，觸發「依原料檢驗結果微調配方與製程窗」，由系統提出證據、建議與下一步；使用者核准後回寫任務，最後呈現「穩定輸出」前後差異。</x:v>
      </x:c>
      <x:c r="O327" s="37" t="str">
        <x:v>中低</x:v>
      </x:c>
      <x:c r="P327" s="37" t="str">
        <x:v>鄰近既有能力：原有 MES/QMS/EAM 可能記錄與告警；本群聚焦跨目標最佳化、因果推理與自主建議。本 App 的獨立邊界是「依原料檢驗結果微調配方與製程窗」，主要產出為「穩定輸出」，不是一般登錄、查詢或看板。</x:v>
      </x:c>
      <x:c r="Q327" s="38" t="n">
        <x:v>5</x:v>
      </x:c>
      <x:c r="R327" s="38" t="n">
        <x:v>5</x:v>
      </x:c>
      <x:c r="S327" s="38" t="str">
        <x:v>P1</x:v>
      </x:c>
      <x:c r="T327" s="38" t="n">
        <x:v>11</x:v>
      </x:c>
      <x:c r="U327" s="39" t="str">
        <x:v>Wave 2 高價值套件</x:v>
      </x:c>
    </x:row>
    <x:row r="328" ht="86" customHeight="1">
      <x:c r="A328" s="36" t="str">
        <x:v>JV-324</x:v>
      </x:c>
      <x:c r="B328" s="37" t="str">
        <x:v>配方知識圖譜</x:v>
      </x:c>
      <x:c r="C328" s="37" t="str">
        <x:v>Industrial AI 新應用</x:v>
      </x:c>
      <x:c r="D328" s="37" t="str">
        <x:v>配方與 Recipe AI</x:v>
      </x:c>
      <x:c r="E328" s="37" t="str">
        <x:v>製造、工程、製程、廠務、品質</x:v>
      </x:c>
      <x:c r="F328" s="37" t="str">
        <x:v>廠長、製程工程師、工業工程師、設備工程師</x:v>
      </x:c>
      <x:c r="G328" s="37" t="str">
        <x:v>現行作法對「連結原料、機理、參數、缺陷與結果」多靠人工彙整、個人經驗或事後處理，難以一致追蹤，造成決策延遲與重工。</x:v>
      </x:c>
      <x:c r="H328" s="37" t="str">
        <x:v>資料／事件接入；連結原料、機理、參數、缺陷與結果；證據與信心呈現；例外分流與人工覆核；保存隱性知識成效追蹤；完整稽核軌跡</x:v>
      </x:c>
      <x:c r="I328" s="37" t="str">
        <x:v>異常偵測；因果線索分析；可解釋的建議排序；專門模型焦點：連結原料、機理、參數、缺陷與結果</x:v>
      </x:c>
      <x:c r="J328" s="37" t="str">
        <x:v>依目標自主規劃步驟、呼叫核准工具、遇到例外改走人工佇列，完成後驗證結果並回報</x:v>
      </x:c>
      <x:c r="K328" s="37" t="str">
        <x:v>L2 建議／需核准</x:v>
      </x:c>
      <x:c r="L328" s="37" t="str">
        <x:v>感測、參數、配方、影像、工單、品質、能源、維護與環境資料</x:v>
      </x:c>
      <x:c r="M328" s="37" t="str">
        <x:v>MES、SCADA、PLC、QMS、PLM、EAM、ERP、數位孿生平台</x:v>
      </x:c>
      <x:c r="N328" s="37" t="str">
        <x:v>複雜產線需要在品質、產能、能耗與風險間做即時折衷，而非只顯示看板。Demo：匯入一組去識別資料，觸發「連結原料、機理、參數、缺陷與結果」，由系統提出證據、建議與下一步；使用者核准後回寫任務，最後呈現「保存隱性知識」前後差異。</x:v>
      </x:c>
      <x:c r="O328" s="37" t="str">
        <x:v>中</x:v>
      </x:c>
      <x:c r="P328" s="37" t="str">
        <x:v>鄰近既有能力：原有 MES/QMS/EAM 可能記錄與告警；本群聚焦跨目標最佳化、因果推理與自主建議。本 App 的獨立邊界是「連結原料、機理、參數、缺陷與結果」，主要產出為「保存隱性知識」，不是一般登錄、查詢或看板。</x:v>
      </x:c>
      <x:c r="Q328" s="38" t="n">
        <x:v>5</x:v>
      </x:c>
      <x:c r="R328" s="38" t="n">
        <x:v>5</x:v>
      </x:c>
      <x:c r="S328" s="38" t="str">
        <x:v>P1</x:v>
      </x:c>
      <x:c r="T328" s="38" t="n">
        <x:v>11</x:v>
      </x:c>
      <x:c r="U328" s="39" t="str">
        <x:v>Wave 2 高價值套件</x:v>
      </x:c>
    </x:row>
    <x:row r="329" ht="86" customHeight="1">
      <x:c r="A329" s="36" t="str">
        <x:v>JV-325</x:v>
      </x:c>
      <x:c r="B329" s="37" t="str">
        <x:v>配方變更法規衝擊檢查器</x:v>
      </x:c>
      <x:c r="C329" s="37" t="str">
        <x:v>Industrial AI 新應用</x:v>
      </x:c>
      <x:c r="D329" s="37" t="str">
        <x:v>配方與 Recipe AI</x:v>
      </x:c>
      <x:c r="E329" s="37" t="str">
        <x:v>製造、工程、製程、廠務、品質</x:v>
      </x:c>
      <x:c r="F329" s="37" t="str">
        <x:v>廠長、製程工程師、工業工程師、設備工程師</x:v>
      </x:c>
      <x:c r="G329" s="37" t="str">
        <x:v>現行作法對「檢查成分變更對市場與標示的影響」多靠人工彙整、個人經驗或事後處理，難以一致追蹤，造成決策延遲與重工。</x:v>
      </x:c>
      <x:c r="H329" s="37" t="str">
        <x:v>資料／事件接入；檢查成分變更對市場與標示的影響；證據與信心呈現；例外分流與人工覆核；避免合規退件成效追蹤；完整稽核軌跡</x:v>
      </x:c>
      <x:c r="I329" s="37" t="str">
        <x:v>RAG 檢索與來源引用；規則＋模型混合判斷；矛盾檢查；專門模型焦點：檢查成分變更對市場與標示的影響</x:v>
      </x:c>
      <x:c r="J329" s="37" t="str">
        <x:v>與多個專業 Agent 協作拆解任務，保留交接證據、逾時升級並在失敗時安全回滾</x:v>
      </x:c>
      <x:c r="K329" s="37" t="str">
        <x:v>L2 建議／需核准</x:v>
      </x:c>
      <x:c r="L329" s="37" t="str">
        <x:v>感測、參數、配方、影像、工單、品質、能源、維護與環境資料</x:v>
      </x:c>
      <x:c r="M329" s="37" t="str">
        <x:v>MES、SCADA、PLC、QMS、PLM、EAM、ERP、數位孿生平台</x:v>
      </x:c>
      <x:c r="N329" s="37" t="str">
        <x:v>複雜產線需要在品質、產能、能耗與風險間做即時折衷，而非只顯示看板。Demo：匯入一組去識別資料，觸發「檢查成分變更對市場與標示的影響」，由系統提出證據、建議與下一步；使用者核准後回寫任務，最後呈現「避免合規退件」前後差異。</x:v>
      </x:c>
      <x:c r="O329" s="37" t="str">
        <x:v>中低</x:v>
      </x:c>
      <x:c r="P329" s="37" t="str">
        <x:v>鄰近既有能力：原有 MES/QMS/EAM 可能記錄與告警；本群聚焦跨目標最佳化、因果推理與自主建議。本 App 的獨立邊界是「檢查成分變更對市場與標示的影響」，主要產出為「避免合規退件」，不是一般登錄、查詢或看板。</x:v>
      </x:c>
      <x:c r="Q329" s="38" t="n">
        <x:v>4</x:v>
      </x:c>
      <x:c r="R329" s="38" t="n">
        <x:v>5</x:v>
      </x:c>
      <x:c r="S329" s="38" t="str">
        <x:v>P1</x:v>
      </x:c>
      <x:c r="T329" s="38" t="n">
        <x:v>11</x:v>
      </x:c>
      <x:c r="U329" s="39" t="str">
        <x:v>Wave 2 高價值套件</x:v>
      </x:c>
    </x:row>
    <x:row r="330" ht="86" customHeight="1">
      <x:c r="A330" s="36" t="str">
        <x:v>JV-326</x:v>
      </x:c>
      <x:c r="B330" s="37" t="str">
        <x:v>少樣本缺陷學習工作台</x:v>
      </x:c>
      <x:c r="C330" s="37" t="str">
        <x:v>Industrial AI 新應用</x:v>
      </x:c>
      <x:c r="D330" s="37" t="str">
        <x:v>視覺智能</x:v>
      </x:c>
      <x:c r="E330" s="37" t="str">
        <x:v>製造、工程、製程、廠務、品質</x:v>
      </x:c>
      <x:c r="F330" s="37" t="str">
        <x:v>廠長、製程工程師、工業工程師、設備工程師</x:v>
      </x:c>
      <x:c r="G330" s="37" t="str">
        <x:v>現行作法對「用少量樣本與合成缺陷建立檢測」多靠人工彙整、個人經驗或事後處理，難以一致追蹤，造成決策延遲與重工。</x:v>
      </x:c>
      <x:c r="H330" s="37" t="str">
        <x:v>資料／事件接入；用少量樣本與合成缺陷建立檢測；證據與信心呈現；例外分流與人工覆核；縮短新產品導入成效追蹤；完整稽核軌跡</x:v>
      </x:c>
      <x:c r="I330" s="37" t="str">
        <x:v>語意分類與實體抽取；風險／信心評分；具證據的生成與摘要；專門模型焦點：用少量樣本與合成缺陷建立檢測</x:v>
      </x:c>
      <x:c r="J330" s="37" t="str">
        <x:v>持續監測事件，達門檻後建立案件、蒐集證據、指派責任並追蹤結案；高風險動作需人工核准</x:v>
      </x:c>
      <x:c r="K330" s="37" t="str">
        <x:v>L3 可執行／關鍵核准</x:v>
      </x:c>
      <x:c r="L330" s="37" t="str">
        <x:v>感測、參數、配方、影像、工單、品質、能源、維護與環境資料</x:v>
      </x:c>
      <x:c r="M330" s="37" t="str">
        <x:v>MES、SCADA、PLC、QMS、PLM、EAM、ERP、數位孿生平台</x:v>
      </x:c>
      <x:c r="N330" s="37" t="str">
        <x:v>複雜產線需要在品質、產能、能耗與風險間做即時折衷，而非只顯示看板。Demo：匯入一組去識別資料，觸發「用少量樣本與合成缺陷建立檢測」，由系統提出證據、建議與下一步；使用者核准後回寫任務，最後呈現「縮短新產品導入」前後差異。</x:v>
      </x:c>
      <x:c r="O330" s="37" t="str">
        <x:v>中</x:v>
      </x:c>
      <x:c r="P330" s="37" t="str">
        <x:v>鄰近既有能力：原有 MES/QMS/EAM 可能記錄與告警；本群聚焦跨目標最佳化、因果推理與自主建議。本 App 的獨立邊界是「用少量樣本與合成缺陷建立檢測」，主要產出為「縮短新產品導入」，不是一般登錄、查詢或看板。</x:v>
      </x:c>
      <x:c r="Q330" s="38" t="n">
        <x:v>5</x:v>
      </x:c>
      <x:c r="R330" s="38" t="n">
        <x:v>4</x:v>
      </x:c>
      <x:c r="S330" s="38" t="str">
        <x:v>P1</x:v>
      </x:c>
      <x:c r="T330" s="38" t="n">
        <x:v>9</x:v>
      </x:c>
      <x:c r="U330" s="39" t="str">
        <x:v>Wave 2 高價值套件</x:v>
      </x:c>
    </x:row>
    <x:row r="331" ht="86" customHeight="1">
      <x:c r="A331" s="36" t="str">
        <x:v>JV-327</x:v>
      </x:c>
      <x:c r="B331" s="37" t="str">
        <x:v>視覺缺陷根因關聯器</x:v>
      </x:c>
      <x:c r="C331" s="37" t="str">
        <x:v>Industrial AI 新應用</x:v>
      </x:c>
      <x:c r="D331" s="37" t="str">
        <x:v>視覺智能</x:v>
      </x:c>
      <x:c r="E331" s="37" t="str">
        <x:v>製造、工程、製程、廠務、品質</x:v>
      </x:c>
      <x:c r="F331" s="37" t="str">
        <x:v>廠長、製程工程師、工業工程師、設備工程師</x:v>
      </x:c>
      <x:c r="G331" s="37" t="str">
        <x:v>現行作法對「將缺陷影像連結設備、材料與參數」多靠人工彙整、個人經驗或事後處理，難以一致追蹤，造成決策延遲與重工。</x:v>
      </x:c>
      <x:c r="H331" s="37" t="str">
        <x:v>資料／事件接入；將缺陷影像連結設備、材料與參數；證據與信心呈現；例外分流與人工覆核；從檢出走向改善成效追蹤；完整稽核軌跡</x:v>
      </x:c>
      <x:c r="I331" s="37" t="str">
        <x:v>預測與情境模擬；多目標最佳化；不確定性呈現；專門模型焦點：將缺陷影像連結設備、材料與參數</x:v>
      </x:c>
      <x:c r="J331" s="37" t="str">
        <x:v>定期掃描資料與外部訊號，提出優先序與建議；經核准後同步任務與更新來源系統</x:v>
      </x:c>
      <x:c r="K331" s="37" t="str">
        <x:v>L2 建議／需核准</x:v>
      </x:c>
      <x:c r="L331" s="37" t="str">
        <x:v>感測、參數、配方、影像、工單、品質、能源、維護與環境資料</x:v>
      </x:c>
      <x:c r="M331" s="37" t="str">
        <x:v>MES、SCADA、PLC、QMS、PLM、EAM、ERP、數位孿生平台</x:v>
      </x:c>
      <x:c r="N331" s="37" t="str">
        <x:v>複雜產線需要在品質、產能、能耗與風險間做即時折衷，而非只顯示看板。Demo：匯入一組去識別資料，觸發「將缺陷影像連結設備、材料與參數」，由系統提出證據、建議與下一步；使用者核准後回寫任務，最後呈現「從檢出走向改善」前後差異。</x:v>
      </x:c>
      <x:c r="O331" s="37" t="str">
        <x:v>中低</x:v>
      </x:c>
      <x:c r="P331" s="37" t="str">
        <x:v>鄰近既有能力：原有 MES/QMS/EAM 可能記錄與告警；本群聚焦跨目標最佳化、因果推理與自主建議。本 App 的獨立邊界是「將缺陷影像連結設備、材料與參數」，主要產出為「從檢出走向改善」，不是一般登錄、查詢或看板。</x:v>
      </x:c>
      <x:c r="Q331" s="38" t="n">
        <x:v>5</x:v>
      </x:c>
      <x:c r="R331" s="38" t="n">
        <x:v>5</x:v>
      </x:c>
      <x:c r="S331" s="38" t="str">
        <x:v>P1</x:v>
      </x:c>
      <x:c r="T331" s="38" t="n">
        <x:v>11</x:v>
      </x:c>
      <x:c r="U331" s="39" t="str">
        <x:v>Wave 2 高價值套件</x:v>
      </x:c>
    </x:row>
    <x:row r="332" ht="86" customHeight="1">
      <x:c r="A332" s="36" t="str">
        <x:v>JV-328</x:v>
      </x:c>
      <x:c r="B332" s="37" t="str">
        <x:v>跨站視覺追蹤器</x:v>
      </x:c>
      <x:c r="C332" s="37" t="str">
        <x:v>Industrial AI 新應用</x:v>
      </x:c>
      <x:c r="D332" s="37" t="str">
        <x:v>視覺智能</x:v>
      </x:c>
      <x:c r="E332" s="37" t="str">
        <x:v>製造、工程、製程、廠務、品質</x:v>
      </x:c>
      <x:c r="F332" s="37" t="str">
        <x:v>廠長、製程工程師、工業工程師、設備工程師</x:v>
      </x:c>
      <x:c r="G332" s="37" t="str">
        <x:v>現行作法對「追蹤同一產品在多站外觀變化」多靠人工彙整、個人經驗或事後處理，難以一致追蹤，造成決策延遲與重工。</x:v>
      </x:c>
      <x:c r="H332" s="37" t="str">
        <x:v>資料／事件接入；追蹤同一產品在多站外觀變化；證據與信心呈現；例外分流與人工覆核；定位缺陷生成站成效追蹤；完整稽核軌跡</x:v>
      </x:c>
      <x:c r="I332" s="37" t="str">
        <x:v>跨文件／跨系統比對；圖譜推理；差異與缺口生成；專門模型焦點：追蹤同一產品在多站外觀變化</x:v>
      </x:c>
      <x:c r="J332" s="37" t="str">
        <x:v>以人機協作模式先產生草案與證據包，接受修改後執行核准步驟並建立完整稽核軌跡</x:v>
      </x:c>
      <x:c r="K332" s="37" t="str">
        <x:v>L2 建議／需核准</x:v>
      </x:c>
      <x:c r="L332" s="37" t="str">
        <x:v>感測、參數、配方、影像、工單、品質、能源、維護與環境資料</x:v>
      </x:c>
      <x:c r="M332" s="37" t="str">
        <x:v>MES、SCADA、PLC、QMS、PLM、EAM、ERP、數位孿生平台</x:v>
      </x:c>
      <x:c r="N332" s="37" t="str">
        <x:v>複雜產線需要在品質、產能、能耗與風險間做即時折衷，而非只顯示看板。Demo：匯入一組去識別資料，觸發「追蹤同一產品在多站外觀變化」，由系統提出證據、建議與下一步；使用者核准後回寫任務，最後呈現「定位缺陷生成站」前後差異。</x:v>
      </x:c>
      <x:c r="O332" s="37" t="str">
        <x:v>中低</x:v>
      </x:c>
      <x:c r="P332" s="37" t="str">
        <x:v>鄰近既有能力：原有 MES/QMS/EAM 可能記錄與告警；本群聚焦跨目標最佳化、因果推理與自主建議。本 App 的獨立邊界是「追蹤同一產品在多站外觀變化」，主要產出為「定位缺陷生成站」，不是一般登錄、查詢或看板。</x:v>
      </x:c>
      <x:c r="Q332" s="38" t="n">
        <x:v>5</x:v>
      </x:c>
      <x:c r="R332" s="38" t="n">
        <x:v>5</x:v>
      </x:c>
      <x:c r="S332" s="38" t="str">
        <x:v>P1</x:v>
      </x:c>
      <x:c r="T332" s="38" t="n">
        <x:v>11</x:v>
      </x:c>
      <x:c r="U332" s="39" t="str">
        <x:v>Wave 2 高價值套件</x:v>
      </x:c>
    </x:row>
    <x:row r="333" ht="86" customHeight="1">
      <x:c r="A333" s="36" t="str">
        <x:v>JV-329</x:v>
      </x:c>
      <x:c r="B333" s="37" t="str">
        <x:v>視覺模型漂移守門員</x:v>
      </x:c>
      <x:c r="C333" s="37" t="str">
        <x:v>Industrial AI 新應用</x:v>
      </x:c>
      <x:c r="D333" s="37" t="str">
        <x:v>視覺智能</x:v>
      </x:c>
      <x:c r="E333" s="37" t="str">
        <x:v>製造、工程、製程、廠務、品質</x:v>
      </x:c>
      <x:c r="F333" s="37" t="str">
        <x:v>廠長、製程工程師、工業工程師、設備工程師</x:v>
      </x:c>
      <x:c r="G333" s="37" t="str">
        <x:v>現行作法對「監測光線、相機、產品與缺陷分布變化」多靠人工彙整、個人經驗或事後處理，難以一致追蹤，造成決策延遲與重工。</x:v>
      </x:c>
      <x:c r="H333" s="37" t="str">
        <x:v>資料／事件接入；監測光線、相機、產品與缺陷分布變化；證據與信心呈現；例外分流與人工覆核；維持檢測品質成效追蹤；完整稽核軌跡</x:v>
      </x:c>
      <x:c r="I333" s="37" t="str">
        <x:v>異常偵測；因果線索分析；可解釋的建議排序；專門模型焦點：監測光線、相機、產品與缺陷分布變化</x:v>
      </x:c>
      <x:c r="J333" s="37" t="str">
        <x:v>依目標自主規劃步驟、呼叫核准工具、遇到例外改走人工佇列，完成後驗證結果並回報</x:v>
      </x:c>
      <x:c r="K333" s="37" t="str">
        <x:v>L2 建議／需核准</x:v>
      </x:c>
      <x:c r="L333" s="37" t="str">
        <x:v>感測、參數、配方、影像、工單、品質、能源、維護與環境資料</x:v>
      </x:c>
      <x:c r="M333" s="37" t="str">
        <x:v>MES、SCADA、PLC、QMS、PLM、EAM、ERP、數位孿生平台</x:v>
      </x:c>
      <x:c r="N333" s="37" t="str">
        <x:v>複雜產線需要在品質、產能、能耗與風險間做即時折衷，而非只顯示看板。Demo：匯入一組去識別資料，觸發「監測光線、相機、產品與缺陷分布變化」，由系統提出證據、建議與下一步；使用者核准後回寫任務，最後呈現「維持檢測品質」前後差異。</x:v>
      </x:c>
      <x:c r="O333" s="37" t="str">
        <x:v>中</x:v>
      </x:c>
      <x:c r="P333" s="37" t="str">
        <x:v>鄰近既有能力：原有 MES/QMS/EAM 可能記錄與告警；本群聚焦跨目標最佳化、因果推理與自主建議。本 App 的獨立邊界是「監測光線、相機、產品與缺陷分布變化」，主要產出為「維持檢測品質」，不是一般登錄、查詢或看板。</x:v>
      </x:c>
      <x:c r="Q333" s="38" t="n">
        <x:v>5</x:v>
      </x:c>
      <x:c r="R333" s="38" t="n">
        <x:v>5</x:v>
      </x:c>
      <x:c r="S333" s="38" t="str">
        <x:v>P1</x:v>
      </x:c>
      <x:c r="T333" s="38" t="n">
        <x:v>11</x:v>
      </x:c>
      <x:c r="U333" s="39" t="str">
        <x:v>Wave 2 高價值套件</x:v>
      </x:c>
    </x:row>
    <x:row r="334" ht="86" customHeight="1">
      <x:c r="A334" s="36" t="str">
        <x:v>JV-330</x:v>
      </x:c>
      <x:c r="B334" s="37" t="str">
        <x:v>人工判定主動學習台</x:v>
      </x:c>
      <x:c r="C334" s="37" t="str">
        <x:v>Industrial AI 新應用</x:v>
      </x:c>
      <x:c r="D334" s="37" t="str">
        <x:v>視覺智能</x:v>
      </x:c>
      <x:c r="E334" s="37" t="str">
        <x:v>製造、工程、製程、廠務、品質</x:v>
      </x:c>
      <x:c r="F334" s="37" t="str">
        <x:v>廠長、製程工程師、工業工程師、設備工程師</x:v>
      </x:c>
      <x:c r="G334" s="37" t="str">
        <x:v>現行作法對「挑選最有價值影像請人判定並回訓」多靠人工彙整、個人經驗或事後處理，難以一致追蹤，造成決策延遲與重工。</x:v>
      </x:c>
      <x:c r="H334" s="37" t="str">
        <x:v>資料／事件接入；挑選最有價值影像請人判定並回訓；證據與信心呈現；例外分流與人工覆核；降低標註量成效追蹤；完整稽核軌跡</x:v>
      </x:c>
      <x:c r="I334" s="37" t="str">
        <x:v>RAG 檢索與來源引用；規則＋模型混合判斷；矛盾檢查；專門模型焦點：挑選最有價值影像請人判定並回訓</x:v>
      </x:c>
      <x:c r="J334" s="37" t="str">
        <x:v>與多個專業 Agent 協作拆解任務，保留交接證據、逾時升級並在失敗時安全回滾</x:v>
      </x:c>
      <x:c r="K334" s="37" t="str">
        <x:v>L2 建議／需核准</x:v>
      </x:c>
      <x:c r="L334" s="37" t="str">
        <x:v>感測、參數、配方、影像、工單、品質、能源、維護與環境資料</x:v>
      </x:c>
      <x:c r="M334" s="37" t="str">
        <x:v>MES、SCADA、PLC、QMS、PLM、EAM、ERP、數位孿生平台</x:v>
      </x:c>
      <x:c r="N334" s="37" t="str">
        <x:v>複雜產線需要在品質、產能、能耗與風險間做即時折衷，而非只顯示看板。Demo：匯入一組去識別資料，觸發「挑選最有價值影像請人判定並回訓」，由系統提出證據、建議與下一步；使用者核准後回寫任務，最後呈現「降低標註量」前後差異。</x:v>
      </x:c>
      <x:c r="O334" s="37" t="str">
        <x:v>中低</x:v>
      </x:c>
      <x:c r="P334" s="37" t="str">
        <x:v>鄰近既有能力：原有 MES/QMS/EAM 可能記錄與告警；本群聚焦跨目標最佳化、因果推理與自主建議。本 App 的獨立邊界是「挑選最有價值影像請人判定並回訓」，主要產出為「降低標註量」，不是一般登錄、查詢或看板。</x:v>
      </x:c>
      <x:c r="Q334" s="38" t="n">
        <x:v>5</x:v>
      </x:c>
      <x:c r="R334" s="38" t="n">
        <x:v>5</x:v>
      </x:c>
      <x:c r="S334" s="38" t="str">
        <x:v>P1</x:v>
      </x:c>
      <x:c r="T334" s="38" t="n">
        <x:v>11</x:v>
      </x:c>
      <x:c r="U334" s="39" t="str">
        <x:v>Wave 2 高價值套件</x:v>
      </x:c>
    </x:row>
    <x:row r="335" ht="86" customHeight="1">
      <x:c r="A335" s="36" t="str">
        <x:v>JV-331</x:v>
      </x:c>
      <x:c r="B335" s="37" t="str">
        <x:v>動態電價生產排程 Agent</x:v>
      </x:c>
      <x:c r="C335" s="37" t="str">
        <x:v>Industrial AI 新應用</x:v>
      </x:c>
      <x:c r="D335" s="37" t="str">
        <x:v>能源與碳</x:v>
      </x:c>
      <x:c r="E335" s="37" t="str">
        <x:v>製造、工程、製程、廠務、品質</x:v>
      </x:c>
      <x:c r="F335" s="37" t="str">
        <x:v>廠長、製程工程師、工業工程師、設備工程師</x:v>
      </x:c>
      <x:c r="G335" s="37" t="str">
        <x:v>現行作法對「在交期與產能限制下避開高價高碳時段」多靠人工彙整、個人經驗或事後處理，難以一致追蹤，造成決策延遲與重工。</x:v>
      </x:c>
      <x:c r="H335" s="37" t="str">
        <x:v>資料／事件接入；在交期與產能限制下避開高價高碳時段；證據與信心呈現；例外分流與人工覆核；降低成本與碳排成效追蹤；完整稽核軌跡</x:v>
      </x:c>
      <x:c r="I335" s="37" t="str">
        <x:v>語意分類與實體抽取；風險／信心評分；具證據的生成與摘要；專門模型焦點：在交期與產能限制下避開高價高碳時段</x:v>
      </x:c>
      <x:c r="J335" s="37" t="str">
        <x:v>持續監測事件，達門檻後建立案件、蒐集證據、指派責任並追蹤結案；高風險動作需人工核准</x:v>
      </x:c>
      <x:c r="K335" s="37" t="str">
        <x:v>L3 可執行／關鍵核准</x:v>
      </x:c>
      <x:c r="L335" s="37" t="str">
        <x:v>感測、參數、配方、影像、工單、品質、能源、維護與環境資料</x:v>
      </x:c>
      <x:c r="M335" s="37" t="str">
        <x:v>MES、SCADA、PLC、QMS、PLM、EAM、ERP、數位孿生平台</x:v>
      </x:c>
      <x:c r="N335" s="37" t="str">
        <x:v>複雜產線需要在品質、產能、能耗與風險間做即時折衷，而非只顯示看板。Demo：匯入一組去識別資料，觸發「在交期與產能限制下避開高價高碳時段」，由系統提出證據、建議與下一步；使用者核准後回寫任務，最後呈現「降低成本與碳排」前後差異。</x:v>
      </x:c>
      <x:c r="O335" s="37" t="str">
        <x:v>中</x:v>
      </x:c>
      <x:c r="P335" s="37" t="str">
        <x:v>鄰近既有能力：原有 MES/QMS/EAM 可能記錄與告警；本群聚焦跨目標最佳化、因果推理與自主建議。本 App 的獨立邊界是「在交期與產能限制下避開高價高碳時段」，主要產出為「降低成本與碳排」，不是一般登錄、查詢或看板。</x:v>
      </x:c>
      <x:c r="Q335" s="38" t="n">
        <x:v>5</x:v>
      </x:c>
      <x:c r="R335" s="38" t="n">
        <x:v>4</x:v>
      </x:c>
      <x:c r="S335" s="38" t="str">
        <x:v>P1</x:v>
      </x:c>
      <x:c r="T335" s="38" t="n">
        <x:v>9</x:v>
      </x:c>
      <x:c r="U335" s="39" t="str">
        <x:v>Wave 2 高價值套件</x:v>
      </x:c>
    </x:row>
    <x:row r="336" ht="86" customHeight="1">
      <x:c r="A336" s="36" t="str">
        <x:v>JV-332</x:v>
      </x:c>
      <x:c r="B336" s="37" t="str">
        <x:v>訂單碳成本模擬器</x:v>
      </x:c>
      <x:c r="C336" s="37" t="str">
        <x:v>Industrial AI 新應用</x:v>
      </x:c>
      <x:c r="D336" s="37" t="str">
        <x:v>能源與碳</x:v>
      </x:c>
      <x:c r="E336" s="37" t="str">
        <x:v>製造、工程、製程、廠務、品質</x:v>
      </x:c>
      <x:c r="F336" s="37" t="str">
        <x:v>廠長、製程工程師、工業工程師、設備工程師</x:v>
      </x:c>
      <x:c r="G336" s="37" t="str">
        <x:v>現行作法對「在報價前估算不同材料與產線的碳成本」多靠人工彙整、個人經驗或事後處理，難以一致追蹤，造成決策延遲與重工。</x:v>
      </x:c>
      <x:c r="H336" s="37" t="str">
        <x:v>資料／事件接入；在報價前估算不同材料與產線的碳成本；證據與信心呈現；例外分流與人工覆核；支援接單決策成效追蹤；完整稽核軌跡</x:v>
      </x:c>
      <x:c r="I336" s="37" t="str">
        <x:v>預測與情境模擬；多目標最佳化；不確定性呈現；專門模型焦點：在報價前估算不同材料與產線的碳成本</x:v>
      </x:c>
      <x:c r="J336" s="37" t="str">
        <x:v>定期掃描資料與外部訊號，提出優先序與建議；經核准後同步任務與更新來源系統</x:v>
      </x:c>
      <x:c r="K336" s="37" t="str">
        <x:v>L2 建議／需核准</x:v>
      </x:c>
      <x:c r="L336" s="37" t="str">
        <x:v>感測、參數、配方、影像、工單、品質、能源、維護與環境資料</x:v>
      </x:c>
      <x:c r="M336" s="37" t="str">
        <x:v>MES、SCADA、PLC、QMS、PLM、EAM、ERP、數位孿生平台</x:v>
      </x:c>
      <x:c r="N336" s="37" t="str">
        <x:v>複雜產線需要在品質、產能、能耗與風險間做即時折衷，而非只顯示看板。Demo：匯入一組去識別資料，觸發「在報價前估算不同材料與產線的碳成本」，由系統提出證據、建議與下一步；使用者核准後回寫任務，最後呈現「支援接單決策」前後差異。</x:v>
      </x:c>
      <x:c r="O336" s="37" t="str">
        <x:v>中低</x:v>
      </x:c>
      <x:c r="P336" s="37" t="str">
        <x:v>鄰近既有能力：原有 MES/QMS/EAM 可能記錄與告警；本群聚焦跨目標最佳化、因果推理與自主建議。本 App 的獨立邊界是「在報價前估算不同材料與產線的碳成本」，主要產出為「支援接單決策」，不是一般登錄、查詢或看板。</x:v>
      </x:c>
      <x:c r="Q336" s="38" t="n">
        <x:v>5</x:v>
      </x:c>
      <x:c r="R336" s="38" t="n">
        <x:v>5</x:v>
      </x:c>
      <x:c r="S336" s="38" t="str">
        <x:v>P1</x:v>
      </x:c>
      <x:c r="T336" s="38" t="n">
        <x:v>11</x:v>
      </x:c>
      <x:c r="U336" s="39" t="str">
        <x:v>Wave 2 高價值套件</x:v>
      </x:c>
    </x:row>
    <x:row r="337" ht="86" customHeight="1">
      <x:c r="A337" s="36" t="str">
        <x:v>JV-333</x:v>
      </x:c>
      <x:c r="B337" s="37" t="str">
        <x:v>設備能源基線漂移偵測器</x:v>
      </x:c>
      <x:c r="C337" s="37" t="str">
        <x:v>Industrial AI 新應用</x:v>
      </x:c>
      <x:c r="D337" s="37" t="str">
        <x:v>能源與碳</x:v>
      </x:c>
      <x:c r="E337" s="37" t="str">
        <x:v>製造、工程、製程、廠務、品質</x:v>
      </x:c>
      <x:c r="F337" s="37" t="str">
        <x:v>廠長、製程工程師、工業工程師、設備工程師</x:v>
      </x:c>
      <x:c r="G337" s="37" t="str">
        <x:v>現行作法對「辨識同產量下能耗逐步惡化」多靠人工彙整、個人經驗或事後處理，難以一致追蹤，造成決策延遲與重工。</x:v>
      </x:c>
      <x:c r="H337" s="37" t="str">
        <x:v>資料／事件接入；辨識同產量下能耗逐步惡化；證據與信心呈現；例外分流與人工覆核；提早維護成效追蹤；完整稽核軌跡</x:v>
      </x:c>
      <x:c r="I337" s="37" t="str">
        <x:v>跨文件／跨系統比對；圖譜推理；差異與缺口生成；專門模型焦點：辨識同產量下能耗逐步惡化</x:v>
      </x:c>
      <x:c r="J337" s="37" t="str">
        <x:v>以人機協作模式先產生草案與證據包，接受修改後執行核准步驟並建立完整稽核軌跡</x:v>
      </x:c>
      <x:c r="K337" s="37" t="str">
        <x:v>L2 建議／需核准</x:v>
      </x:c>
      <x:c r="L337" s="37" t="str">
        <x:v>感測、參數、配方、影像、工單、品質、能源、維護與環境資料</x:v>
      </x:c>
      <x:c r="M337" s="37" t="str">
        <x:v>MES、SCADA、PLC、QMS、PLM、EAM、ERP、數位孿生平台</x:v>
      </x:c>
      <x:c r="N337" s="37" t="str">
        <x:v>複雜產線需要在品質、產能、能耗與風險間做即時折衷，而非只顯示看板。Demo：匯入一組去識別資料，觸發「辨識同產量下能耗逐步惡化」，由系統提出證據、建議與下一步；使用者核准後回寫任務，最後呈現「提早維護」前後差異。</x:v>
      </x:c>
      <x:c r="O337" s="37" t="str">
        <x:v>中低</x:v>
      </x:c>
      <x:c r="P337" s="37" t="str">
        <x:v>鄰近既有能力：原有 MES/QMS/EAM 可能記錄與告警；本群聚焦跨目標最佳化、因果推理與自主建議。本 App 的獨立邊界是「辨識同產量下能耗逐步惡化」，主要產出為「提早維護」，不是一般登錄、查詢或看板。</x:v>
      </x:c>
      <x:c r="Q337" s="38" t="n">
        <x:v>5</x:v>
      </x:c>
      <x:c r="R337" s="38" t="n">
        <x:v>5</x:v>
      </x:c>
      <x:c r="S337" s="38" t="str">
        <x:v>P1</x:v>
      </x:c>
      <x:c r="T337" s="38" t="n">
        <x:v>11</x:v>
      </x:c>
      <x:c r="U337" s="39" t="str">
        <x:v>Wave 2 高價值套件</x:v>
      </x:c>
    </x:row>
    <x:row r="338" ht="86" customHeight="1">
      <x:c r="A338" s="36" t="str">
        <x:v>JV-334</x:v>
      </x:c>
      <x:c r="B338" s="37" t="str">
        <x:v>需量反應自動協調器</x:v>
      </x:c>
      <x:c r="C338" s="37" t="str">
        <x:v>Industrial AI 新應用</x:v>
      </x:c>
      <x:c r="D338" s="37" t="str">
        <x:v>能源與碳</x:v>
      </x:c>
      <x:c r="E338" s="37" t="str">
        <x:v>製造、工程、製程、廠務、品質</x:v>
      </x:c>
      <x:c r="F338" s="37" t="str">
        <x:v>廠長、製程工程師、工業工程師、設備工程師</x:v>
      </x:c>
      <x:c r="G338" s="37" t="str">
        <x:v>現行作法對「接到削峰訊號後安全調整非關鍵負載」多靠人工彙整、個人經驗或事後處理，難以一致追蹤，造成決策延遲與重工。</x:v>
      </x:c>
      <x:c r="H338" s="37" t="str">
        <x:v>資料／事件接入；接到削峰訊號後安全調整非關鍵負載；證據與信心呈現；例外分流與人工覆核；取得節能收益成效追蹤；完整稽核軌跡</x:v>
      </x:c>
      <x:c r="I338" s="37" t="str">
        <x:v>異常偵測；因果線索分析；可解釋的建議排序；專門模型焦點：接到削峰訊號後安全調整非關鍵負載</x:v>
      </x:c>
      <x:c r="J338" s="37" t="str">
        <x:v>依目標自主規劃步驟、呼叫核准工具、遇到例外改走人工佇列，完成後驗證結果並回報</x:v>
      </x:c>
      <x:c r="K338" s="37" t="str">
        <x:v>L2 建議／需核准</x:v>
      </x:c>
      <x:c r="L338" s="37" t="str">
        <x:v>感測、參數、配方、影像、工單、品質、能源、維護與環境資料</x:v>
      </x:c>
      <x:c r="M338" s="37" t="str">
        <x:v>MES、SCADA、PLC、QMS、PLM、EAM、ERP、數位孿生平台</x:v>
      </x:c>
      <x:c r="N338" s="37" t="str">
        <x:v>複雜產線需要在品質、產能、能耗與風險間做即時折衷，而非只顯示看板。Demo：匯入一組去識別資料，觸發「接到削峰訊號後安全調整非關鍵負載」，由系統提出證據、建議與下一步；使用者核准後回寫任務，最後呈現「取得節能收益」前後差異。</x:v>
      </x:c>
      <x:c r="O338" s="37" t="str">
        <x:v>中</x:v>
      </x:c>
      <x:c r="P338" s="37" t="str">
        <x:v>鄰近既有能力：原有 MES/QMS/EAM 可能記錄與告警；本群聚焦跨目標最佳化、因果推理與自主建議。本 App 的獨立邊界是「接到削峰訊號後安全調整非關鍵負載」，主要產出為「取得節能收益」，不是一般登錄、查詢或看板。</x:v>
      </x:c>
      <x:c r="Q338" s="38" t="n">
        <x:v>5</x:v>
      </x:c>
      <x:c r="R338" s="38" t="n">
        <x:v>5</x:v>
      </x:c>
      <x:c r="S338" s="38" t="str">
        <x:v>P1</x:v>
      </x:c>
      <x:c r="T338" s="38" t="n">
        <x:v>11</x:v>
      </x:c>
      <x:c r="U338" s="39" t="str">
        <x:v>Wave 2 高價值套件</x:v>
      </x:c>
    </x:row>
    <x:row r="339" ht="86" customHeight="1">
      <x:c r="A339" s="36" t="str">
        <x:v>JV-335</x:v>
      </x:c>
      <x:c r="B339" s="37" t="str">
        <x:v>產品碳排熱點導航器</x:v>
      </x:c>
      <x:c r="C339" s="37" t="str">
        <x:v>Industrial AI 新應用</x:v>
      </x:c>
      <x:c r="D339" s="37" t="str">
        <x:v>能源與碳</x:v>
      </x:c>
      <x:c r="E339" s="37" t="str">
        <x:v>製造、工程、製程、廠務、品質</x:v>
      </x:c>
      <x:c r="F339" s="37" t="str">
        <x:v>廠長、製程工程師、工業工程師、設備工程師</x:v>
      </x:c>
      <x:c r="G339" s="37" t="str">
        <x:v>現行作法對「沿製程與供應鏈找高碳步驟及替代方案」多靠人工彙整、個人經驗或事後處理，難以一致追蹤，造成決策延遲與重工。</x:v>
      </x:c>
      <x:c r="H339" s="37" t="str">
        <x:v>資料／事件接入；沿製程與供應鏈找高碳步驟及替代方案；證據與信心呈現；例外分流與人工覆核；聚焦減碳成效追蹤；完整稽核軌跡</x:v>
      </x:c>
      <x:c r="I339" s="37" t="str">
        <x:v>RAG 檢索與來源引用；規則＋模型混合判斷；矛盾檢查；專門模型焦點：沿製程與供應鏈找高碳步驟及替代方案</x:v>
      </x:c>
      <x:c r="J339" s="37" t="str">
        <x:v>與多個專業 Agent 協作拆解任務，保留交接證據、逾時升級並在失敗時安全回滾</x:v>
      </x:c>
      <x:c r="K339" s="37" t="str">
        <x:v>L2 建議／需核准</x:v>
      </x:c>
      <x:c r="L339" s="37" t="str">
        <x:v>感測、參數、配方、影像、工單、品質、能源、維護與環境資料</x:v>
      </x:c>
      <x:c r="M339" s="37" t="str">
        <x:v>MES、SCADA、PLC、QMS、PLM、EAM、ERP、數位孿生平台</x:v>
      </x:c>
      <x:c r="N339" s="37" t="str">
        <x:v>複雜產線需要在品質、產能、能耗與風險間做即時折衷，而非只顯示看板。Demo：匯入一組去識別資料，觸發「沿製程與供應鏈找高碳步驟及替代方案」，由系統提出證據、建議與下一步；使用者核准後回寫任務，最後呈現「聚焦減碳」前後差異。</x:v>
      </x:c>
      <x:c r="O339" s="37" t="str">
        <x:v>中低</x:v>
      </x:c>
      <x:c r="P339" s="37" t="str">
        <x:v>鄰近既有能力：原有 MES/QMS/EAM 可能記錄與告警；本群聚焦跨目標最佳化、因果推理與自主建議。本 App 的獨立邊界是「沿製程與供應鏈找高碳步驟及替代方案」，主要產出為「聚焦減碳」，不是一般登錄、查詢或看板。</x:v>
      </x:c>
      <x:c r="Q339" s="38" t="n">
        <x:v>5</x:v>
      </x:c>
      <x:c r="R339" s="38" t="n">
        <x:v>5</x:v>
      </x:c>
      <x:c r="S339" s="38" t="str">
        <x:v>P1</x:v>
      </x:c>
      <x:c r="T339" s="38" t="n">
        <x:v>11</x:v>
      </x:c>
      <x:c r="U339" s="39" t="str">
        <x:v>Wave 2 高價值套件</x:v>
      </x:c>
    </x:row>
    <x:row r="340" ht="86" customHeight="1">
      <x:c r="A340" s="36" t="str">
        <x:v>JV-336</x:v>
      </x:c>
      <x:c r="B340" s="37" t="str">
        <x:v>現場語音工序 Copilot</x:v>
      </x:c>
      <x:c r="C340" s="37" t="str">
        <x:v>Industrial AI 新應用</x:v>
      </x:c>
      <x:c r="D340" s="37" t="str">
        <x:v>人機協作</x:v>
      </x:c>
      <x:c r="E340" s="37" t="str">
        <x:v>製造、工程、製程、廠務、品質</x:v>
      </x:c>
      <x:c r="F340" s="37" t="str">
        <x:v>廠長、製程工程師、工業工程師、設備工程師</x:v>
      </x:c>
      <x:c r="G340" s="37" t="str">
        <x:v>現行作法對「免手持查 SOP、回報與取得下一步指引」多靠人工彙整、個人經驗或事後處理，難以一致追蹤，造成決策延遲與重工。</x:v>
      </x:c>
      <x:c r="H340" s="37" t="str">
        <x:v>資料／事件接入；免手持查 SOP、回報與取得下一步指引；證據與信心呈現；例外分流與人工覆核；降低操作中斷成效追蹤；完整稽核軌跡</x:v>
      </x:c>
      <x:c r="I340" s="37" t="str">
        <x:v>語意分類與實體抽取；風險／信心評分；具證據的生成與摘要；專門模型焦點：免手持查 SOP、回報與取得下一步指引</x:v>
      </x:c>
      <x:c r="J340" s="37" t="str">
        <x:v>持續監測事件，達門檻後建立案件、蒐集證據、指派責任並追蹤結案；高風險動作需人工核准</x:v>
      </x:c>
      <x:c r="K340" s="37" t="str">
        <x:v>L3 可執行／關鍵核准</x:v>
      </x:c>
      <x:c r="L340" s="37" t="str">
        <x:v>感測、參數、配方、影像、工單、品質、能源、維護與環境資料</x:v>
      </x:c>
      <x:c r="M340" s="37" t="str">
        <x:v>MES、SCADA、PLC、QMS、PLM、EAM、ERP、數位孿生平台</x:v>
      </x:c>
      <x:c r="N340" s="37" t="str">
        <x:v>複雜產線需要在品質、產能、能耗與風險間做即時折衷，而非只顯示看板。Demo：匯入一組去識別資料，觸發「免手持查 SOP、回報與取得下一步指引」，由系統提出證據、建議與下一步；使用者核准後回寫任務，最後呈現「降低操作中斷」前後差異。</x:v>
      </x:c>
      <x:c r="O340" s="37" t="str">
        <x:v>中</x:v>
      </x:c>
      <x:c r="P340" s="37" t="str">
        <x:v>鄰近既有能力：原有 MES/QMS/EAM 可能記錄與告警；本群聚焦跨目標最佳化、因果推理與自主建議。本 App 的獨立邊界是「免手持查 SOP、回報與取得下一步指引」，主要產出為「降低操作中斷」，不是一般登錄、查詢或看板。</x:v>
      </x:c>
      <x:c r="Q340" s="38" t="n">
        <x:v>4</x:v>
      </x:c>
      <x:c r="R340" s="38" t="n">
        <x:v>4</x:v>
      </x:c>
      <x:c r="S340" s="38" t="str">
        <x:v>P1</x:v>
      </x:c>
      <x:c r="T340" s="38" t="n">
        <x:v>9</x:v>
      </x:c>
      <x:c r="U340" s="39" t="str">
        <x:v>Wave 2 高價值套件</x:v>
      </x:c>
    </x:row>
    <x:row r="341" ht="86" customHeight="1">
      <x:c r="A341" s="36" t="str">
        <x:v>JV-337</x:v>
      </x:c>
      <x:c r="B341" s="37" t="str">
        <x:v>AR 維修步驟驗證器</x:v>
      </x:c>
      <x:c r="C341" s="37" t="str">
        <x:v>Industrial AI 新應用</x:v>
      </x:c>
      <x:c r="D341" s="37" t="str">
        <x:v>人機協作</x:v>
      </x:c>
      <x:c r="E341" s="37" t="str">
        <x:v>製造、工程、製程、廠務、品質</x:v>
      </x:c>
      <x:c r="F341" s="37" t="str">
        <x:v>廠長、製程工程師、工業工程師、設備工程師</x:v>
      </x:c>
      <x:c r="G341" s="37" t="str">
        <x:v>現行作法對「用視覺確認零件、順序與安全步驟」多靠人工彙整、個人經驗或事後處理，難以一致追蹤，造成決策延遲與重工。</x:v>
      </x:c>
      <x:c r="H341" s="37" t="str">
        <x:v>資料／事件接入；用視覺確認零件、順序與安全步驟；證據與信心呈現；例外分流與人工覆核；降低維修錯誤成效追蹤；完整稽核軌跡</x:v>
      </x:c>
      <x:c r="I341" s="37" t="str">
        <x:v>預測與情境模擬；多目標最佳化；不確定性呈現；專門模型焦點：用視覺確認零件、順序與安全步驟</x:v>
      </x:c>
      <x:c r="J341" s="37" t="str">
        <x:v>定期掃描資料與外部訊號，提出優先序與建議；經核准後同步任務與更新來源系統</x:v>
      </x:c>
      <x:c r="K341" s="37" t="str">
        <x:v>L2 建議／需核准</x:v>
      </x:c>
      <x:c r="L341" s="37" t="str">
        <x:v>感測、參數、配方、影像、工單、品質、能源、維護與環境資料</x:v>
      </x:c>
      <x:c r="M341" s="37" t="str">
        <x:v>MES、SCADA、PLC、QMS、PLM、EAM、ERP、數位孿生平台</x:v>
      </x:c>
      <x:c r="N341" s="37" t="str">
        <x:v>複雜產線需要在品質、產能、能耗與風險間做即時折衷，而非只顯示看板。Demo：匯入一組去識別資料，觸發「用視覺確認零件、順序與安全步驟」，由系統提出證據、建議與下一步；使用者核准後回寫任務，最後呈現「降低維修錯誤」前後差異。</x:v>
      </x:c>
      <x:c r="O341" s="37" t="str">
        <x:v>中低</x:v>
      </x:c>
      <x:c r="P341" s="37" t="str">
        <x:v>鄰近既有能力：原有 MES/QMS/EAM 可能記錄與告警；本群聚焦跨目標最佳化、因果推理與自主建議。本 App 的獨立邊界是「用視覺確認零件、順序與安全步驟」，主要產出為「降低維修錯誤」，不是一般登錄、查詢或看板。</x:v>
      </x:c>
      <x:c r="Q341" s="38" t="n">
        <x:v>5</x:v>
      </x:c>
      <x:c r="R341" s="38" t="n">
        <x:v>5</x:v>
      </x:c>
      <x:c r="S341" s="38" t="str">
        <x:v>P1</x:v>
      </x:c>
      <x:c r="T341" s="38" t="n">
        <x:v>11</x:v>
      </x:c>
      <x:c r="U341" s="39" t="str">
        <x:v>Wave 2 高價值套件</x:v>
      </x:c>
    </x:row>
    <x:row r="342" ht="86" customHeight="1">
      <x:c r="A342" s="36" t="str">
        <x:v>JV-338</x:v>
      </x:c>
      <x:c r="B342" s="37" t="str">
        <x:v>人機工位風險評估器</x:v>
      </x:c>
      <x:c r="C342" s="37" t="str">
        <x:v>Industrial AI 新應用</x:v>
      </x:c>
      <x:c r="D342" s="37" t="str">
        <x:v>人機協作</x:v>
      </x:c>
      <x:c r="E342" s="37" t="str">
        <x:v>製造、工程、製程、廠務、品質</x:v>
      </x:c>
      <x:c r="F342" s="37" t="str">
        <x:v>廠長、製程工程師、工業工程師、設備工程師</x:v>
      </x:c>
      <x:c r="G342" s="37" t="str">
        <x:v>現行作法對「分析姿勢、節拍與機器動線的碰撞風險」多靠人工彙整、個人經驗或事後處理，難以一致追蹤，造成決策延遲與重工。</x:v>
      </x:c>
      <x:c r="H342" s="37" t="str">
        <x:v>資料／事件接入；分析姿勢、節拍與機器動線的碰撞風險；證據與信心呈現；例外分流與人工覆核；改善工位設計成效追蹤；完整稽核軌跡</x:v>
      </x:c>
      <x:c r="I342" s="37" t="str">
        <x:v>跨文件／跨系統比對；圖譜推理；差異與缺口生成；專門模型焦點：分析姿勢、節拍與機器動線的碰撞風險</x:v>
      </x:c>
      <x:c r="J342" s="37" t="str">
        <x:v>以人機協作模式先產生草案與證據包，接受修改後執行核准步驟並建立完整稽核軌跡</x:v>
      </x:c>
      <x:c r="K342" s="37" t="str">
        <x:v>L2 建議／需核准</x:v>
      </x:c>
      <x:c r="L342" s="37" t="str">
        <x:v>感測、參數、配方、影像、工單、品質、能源、維護與環境資料</x:v>
      </x:c>
      <x:c r="M342" s="37" t="str">
        <x:v>MES、SCADA、PLC、QMS、PLM、EAM、ERP、數位孿生平台</x:v>
      </x:c>
      <x:c r="N342" s="37" t="str">
        <x:v>複雜產線需要在品質、產能、能耗與風險間做即時折衷，而非只顯示看板。Demo：匯入一組去識別資料，觸發「分析姿勢、節拍與機器動線的碰撞風險」，由系統提出證據、建議與下一步；使用者核准後回寫任務，最後呈現「改善工位設計」前後差異。</x:v>
      </x:c>
      <x:c r="O342" s="37" t="str">
        <x:v>中低</x:v>
      </x:c>
      <x:c r="P342" s="37" t="str">
        <x:v>鄰近既有能力：原有 MES/QMS/EAM 可能記錄與告警；本群聚焦跨目標最佳化、因果推理與自主建議。本 App 的獨立邊界是「分析姿勢、節拍與機器動線的碰撞風險」，主要產出為「改善工位設計」，不是一般登錄、查詢或看板。</x:v>
      </x:c>
      <x:c r="Q342" s="38" t="n">
        <x:v>5</x:v>
      </x:c>
      <x:c r="R342" s="38" t="n">
        <x:v>5</x:v>
      </x:c>
      <x:c r="S342" s="38" t="str">
        <x:v>P1</x:v>
      </x:c>
      <x:c r="T342" s="38" t="n">
        <x:v>11</x:v>
      </x:c>
      <x:c r="U342" s="39" t="str">
        <x:v>Wave 2 高價值套件</x:v>
      </x:c>
    </x:row>
    <x:row r="343" ht="86" customHeight="1">
      <x:c r="A343" s="36" t="str">
        <x:v>JV-339</x:v>
      </x:c>
      <x:c r="B343" s="37" t="str">
        <x:v>技能依賴排程器</x:v>
      </x:c>
      <x:c r="C343" s="37" t="str">
        <x:v>Industrial AI 新應用</x:v>
      </x:c>
      <x:c r="D343" s="37" t="str">
        <x:v>人機協作</x:v>
      </x:c>
      <x:c r="E343" s="37" t="str">
        <x:v>製造、工程、製程、廠務、品質</x:v>
      </x:c>
      <x:c r="F343" s="37" t="str">
        <x:v>廠長、製程工程師、工業工程師、設備工程師</x:v>
      </x:c>
      <x:c r="G343" s="37" t="str">
        <x:v>現行作法對「依人員資格與實際熟練度安排關鍵工序」多靠人工彙整、個人經驗或事後處理，難以一致追蹤，造成決策延遲與重工。</x:v>
      </x:c>
      <x:c r="H343" s="37" t="str">
        <x:v>資料／事件接入；依人員資格與實際熟練度安排關鍵工序；證據與信心呈現；例外分流與人工覆核；降低排班風險成效追蹤；完整稽核軌跡</x:v>
      </x:c>
      <x:c r="I343" s="37" t="str">
        <x:v>異常偵測；因果線索分析；可解釋的建議排序；專門模型焦點：依人員資格與實際熟練度安排關鍵工序</x:v>
      </x:c>
      <x:c r="J343" s="37" t="str">
        <x:v>依目標自主規劃步驟、呼叫核准工具、遇到例外改走人工佇列，完成後驗證結果並回報</x:v>
      </x:c>
      <x:c r="K343" s="37" t="str">
        <x:v>L2 建議／需核准</x:v>
      </x:c>
      <x:c r="L343" s="37" t="str">
        <x:v>感測、參數、配方、影像、工單、品質、能源、維護與環境資料</x:v>
      </x:c>
      <x:c r="M343" s="37" t="str">
        <x:v>MES、SCADA、PLC、QMS、PLM、EAM、ERP、數位孿生平台</x:v>
      </x:c>
      <x:c r="N343" s="37" t="str">
        <x:v>複雜產線需要在品質、產能、能耗與風險間做即時折衷，而非只顯示看板。Demo：匯入一組去識別資料，觸發「依人員資格與實際熟練度安排關鍵工序」，由系統提出證據、建議與下一步；使用者核准後回寫任務，最後呈現「降低排班風險」前後差異。</x:v>
      </x:c>
      <x:c r="O343" s="37" t="str">
        <x:v>中</x:v>
      </x:c>
      <x:c r="P343" s="37" t="str">
        <x:v>鄰近既有能力：原有 MES/QMS/EAM 可能記錄與告警；本群聚焦跨目標最佳化、因果推理與自主建議。本 App 的獨立邊界是「依人員資格與實際熟練度安排關鍵工序」，主要產出為「降低排班風險」，不是一般登錄、查詢或看板。</x:v>
      </x:c>
      <x:c r="Q343" s="38" t="n">
        <x:v>5</x:v>
      </x:c>
      <x:c r="R343" s="38" t="n">
        <x:v>5</x:v>
      </x:c>
      <x:c r="S343" s="38" t="str">
        <x:v>P1</x:v>
      </x:c>
      <x:c r="T343" s="38" t="n">
        <x:v>11</x:v>
      </x:c>
      <x:c r="U343" s="39" t="str">
        <x:v>Wave 2 高價值套件</x:v>
      </x:c>
    </x:row>
    <x:row r="344" ht="86" customHeight="1">
      <x:c r="A344" s="36" t="str">
        <x:v>JV-340</x:v>
      </x:c>
      <x:c r="B344" s="37" t="str">
        <x:v>現場異常協同 Agent</x:v>
      </x:c>
      <x:c r="C344" s="37" t="str">
        <x:v>Industrial AI 新應用</x:v>
      </x:c>
      <x:c r="D344" s="37" t="str">
        <x:v>人機協作</x:v>
      </x:c>
      <x:c r="E344" s="37" t="str">
        <x:v>製造、工程、製程、廠務、品質</x:v>
      </x:c>
      <x:c r="F344" s="37" t="str">
        <x:v>廠長、製程工程師、工業工程師、設備工程師</x:v>
      </x:c>
      <x:c r="G344" s="37" t="str">
        <x:v>現行作法對「召集正確專家、資料與工具形成處置室」多靠人工彙整、個人經驗或事後處理，難以一致追蹤，造成決策延遲與重工。</x:v>
      </x:c>
      <x:c r="H344" s="37" t="str">
        <x:v>資料／事件接入；召集正確專家、資料與工具形成處置室；證據與信心呈現；例外分流與人工覆核；縮短停線成效追蹤；完整稽核軌跡</x:v>
      </x:c>
      <x:c r="I344" s="37" t="str">
        <x:v>RAG 檢索與來源引用；規則＋模型混合判斷；矛盾檢查；專門模型焦點：召集正確專家、資料與工具形成處置室</x:v>
      </x:c>
      <x:c r="J344" s="37" t="str">
        <x:v>與多個專業 Agent 協作拆解任務，保留交接證據、逾時升級並在失敗時安全回滾</x:v>
      </x:c>
      <x:c r="K344" s="37" t="str">
        <x:v>L2 建議／需核准</x:v>
      </x:c>
      <x:c r="L344" s="37" t="str">
        <x:v>感測、參數、配方、影像、工單、品質、能源、維護與環境資料</x:v>
      </x:c>
      <x:c r="M344" s="37" t="str">
        <x:v>MES、SCADA、PLC、QMS、PLM、EAM、ERP、數位孿生平台</x:v>
      </x:c>
      <x:c r="N344" s="37" t="str">
        <x:v>複雜產線需要在品質、產能、能耗與風險間做即時折衷，而非只顯示看板。Demo：匯入一組去識別資料，觸發「召集正確專家、資料與工具形成處置室」，由系統提出證據、建議與下一步；使用者核准後回寫任務，最後呈現「縮短停線」前後差異。</x:v>
      </x:c>
      <x:c r="O344" s="37" t="str">
        <x:v>中低</x:v>
      </x:c>
      <x:c r="P344" s="37" t="str">
        <x:v>鄰近既有能力：原有 MES/QMS/EAM 可能記錄與告警；本群聚焦跨目標最佳化、因果推理與自主建議。本 App 的獨立邊界是「召集正確專家、資料與工具形成處置室」，主要產出為「縮短停線」，不是一般登錄、查詢或看板。</x:v>
      </x:c>
      <x:c r="Q344" s="38" t="n">
        <x:v>5</x:v>
      </x:c>
      <x:c r="R344" s="38" t="n">
        <x:v>5</x:v>
      </x:c>
      <x:c r="S344" s="38" t="str">
        <x:v>P1</x:v>
      </x:c>
      <x:c r="T344" s="38" t="n">
        <x:v>11</x:v>
      </x:c>
      <x:c r="U344" s="39" t="str">
        <x:v>Wave 2 高價值套件</x:v>
      </x:c>
    </x:row>
    <x:row r="345" ht="86" customHeight="1">
      <x:c r="A345" s="36" t="str">
        <x:v>JV-341</x:v>
      </x:c>
      <x:c r="B345" s="37" t="str">
        <x:v>製造供應中斷情境模擬器</x:v>
      </x:c>
      <x:c r="C345" s="37" t="str">
        <x:v>Industrial AI 新應用</x:v>
      </x:c>
      <x:c r="D345" s="37" t="str">
        <x:v>製造韌性</x:v>
      </x:c>
      <x:c r="E345" s="37" t="str">
        <x:v>製造、工程、製程、廠務、品質</x:v>
      </x:c>
      <x:c r="F345" s="37" t="str">
        <x:v>廠長、製程工程師、工業工程師、設備工程師</x:v>
      </x:c>
      <x:c r="G345" s="37" t="str">
        <x:v>現行作法對「模擬材料、設備、電力與物流中斷」多靠人工彙整、個人經驗或事後處理，難以一致追蹤，造成決策延遲與重工。</x:v>
      </x:c>
      <x:c r="H345" s="37" t="str">
        <x:v>資料／事件接入；模擬材料、設備、電力與物流中斷；證據與信心呈現；例外分流與人工覆核；預演應變成效追蹤；完整稽核軌跡</x:v>
      </x:c>
      <x:c r="I345" s="37" t="str">
        <x:v>語意分類與實體抽取；風險／信心評分；具證據的生成與摘要；專門模型焦點：模擬材料、設備、電力與物流中斷</x:v>
      </x:c>
      <x:c r="J345" s="37" t="str">
        <x:v>持續監測事件，達門檻後建立案件、蒐集證據、指派責任並追蹤結案；高風險動作需人工核准</x:v>
      </x:c>
      <x:c r="K345" s="37" t="str">
        <x:v>L3 可執行／關鍵核准</x:v>
      </x:c>
      <x:c r="L345" s="37" t="str">
        <x:v>感測、參數、配方、影像、工單、品質、能源、維護與環境資料</x:v>
      </x:c>
      <x:c r="M345" s="37" t="str">
        <x:v>MES、SCADA、PLC、QMS、PLM、EAM、ERP、數位孿生平台</x:v>
      </x:c>
      <x:c r="N345" s="37" t="str">
        <x:v>複雜產線需要在品質、產能、能耗與風險間做即時折衷，而非只顯示看板。Demo：匯入一組去識別資料，觸發「模擬材料、設備、電力與物流中斷」，由系統提出證據、建議與下一步；使用者核准後回寫任務，最後呈現「預演應變」前後差異。</x:v>
      </x:c>
      <x:c r="O345" s="37" t="str">
        <x:v>中</x:v>
      </x:c>
      <x:c r="P345" s="37" t="str">
        <x:v>鄰近既有能力：原有 MES/QMS/EAM 可能記錄與告警；本群聚焦跨目標最佳化、因果推理與自主建議。本 App 的獨立邊界是「模擬材料、設備、電力與物流中斷」，主要產出為「預演應變」，不是一般登錄、查詢或看板。</x:v>
      </x:c>
      <x:c r="Q345" s="38" t="n">
        <x:v>5</x:v>
      </x:c>
      <x:c r="R345" s="38" t="n">
        <x:v>4</x:v>
      </x:c>
      <x:c r="S345" s="38" t="str">
        <x:v>P1</x:v>
      </x:c>
      <x:c r="T345" s="38" t="n">
        <x:v>9</x:v>
      </x:c>
      <x:c r="U345" s="39" t="str">
        <x:v>Wave 2 高價值套件</x:v>
      </x:c>
    </x:row>
    <x:row r="346" ht="86" customHeight="1">
      <x:c r="A346" s="36" t="str">
        <x:v>JV-342</x:v>
      </x:c>
      <x:c r="B346" s="37" t="str">
        <x:v>製程控制限自適應引擎</x:v>
      </x:c>
      <x:c r="C346" s="37" t="str">
        <x:v>Industrial AI 新應用</x:v>
      </x:c>
      <x:c r="D346" s="37" t="str">
        <x:v>製造韌性</x:v>
      </x:c>
      <x:c r="E346" s="37" t="str">
        <x:v>製造、工程、製程、廠務、品質</x:v>
      </x:c>
      <x:c r="F346" s="37" t="str">
        <x:v>廠長、製程工程師、工業工程師、設備工程師</x:v>
      </x:c>
      <x:c r="G346" s="37" t="str">
        <x:v>現行作法對「依產品組合與環境調整合理控制限」多靠人工彙整、個人經驗或事後處理，難以一致追蹤，造成決策延遲與重工。</x:v>
      </x:c>
      <x:c r="H346" s="37" t="str">
        <x:v>資料／事件接入；依產品組合與環境調整合理控制限；證據與信心呈現；例外分流與人工覆核；減少誤報成效追蹤；完整稽核軌跡</x:v>
      </x:c>
      <x:c r="I346" s="37" t="str">
        <x:v>預測與情境模擬；多目標最佳化；不確定性呈現；專門模型焦點：依產品組合與環境調整合理控制限</x:v>
      </x:c>
      <x:c r="J346" s="37" t="str">
        <x:v>定期掃描資料與外部訊號，提出優先序與建議；經核准後同步任務與更新來源系統</x:v>
      </x:c>
      <x:c r="K346" s="37" t="str">
        <x:v>L2 建議／需核准</x:v>
      </x:c>
      <x:c r="L346" s="37" t="str">
        <x:v>感測、參數、配方、影像、工單、品質、能源、維護與環境資料</x:v>
      </x:c>
      <x:c r="M346" s="37" t="str">
        <x:v>MES、SCADA、PLC、QMS、PLM、EAM、ERP、數位孿生平台</x:v>
      </x:c>
      <x:c r="N346" s="37" t="str">
        <x:v>複雜產線需要在品質、產能、能耗與風險間做即時折衷，而非只顯示看板。Demo：匯入一組去識別資料，觸發「依產品組合與環境調整合理控制限」，由系統提出證據、建議與下一步；使用者核准後回寫任務，最後呈現「減少誤報」前後差異。</x:v>
      </x:c>
      <x:c r="O346" s="37" t="str">
        <x:v>中低</x:v>
      </x:c>
      <x:c r="P346" s="37" t="str">
        <x:v>鄰近既有能力：原有 MES/QMS/EAM 可能記錄與告警；本群聚焦跨目標最佳化、因果推理與自主建議。本 App 的獨立邊界是「依產品組合與環境調整合理控制限」，主要產出為「減少誤報」，不是一般登錄、查詢或看板。</x:v>
      </x:c>
      <x:c r="Q346" s="38" t="n">
        <x:v>4</x:v>
      </x:c>
      <x:c r="R346" s="38" t="n">
        <x:v>5</x:v>
      </x:c>
      <x:c r="S346" s="38" t="str">
        <x:v>P1</x:v>
      </x:c>
      <x:c r="T346" s="38" t="n">
        <x:v>11</x:v>
      </x:c>
      <x:c r="U346" s="39" t="str">
        <x:v>Wave 2 高價值套件</x:v>
      </x:c>
    </x:row>
    <x:row r="347" ht="86" customHeight="1">
      <x:c r="A347" s="36" t="str">
        <x:v>JV-343</x:v>
      </x:c>
      <x:c r="B347" s="37" t="str">
        <x:v>良率損失因果分解器</x:v>
      </x:c>
      <x:c r="C347" s="37" t="str">
        <x:v>Industrial AI 新應用</x:v>
      </x:c>
      <x:c r="D347" s="37" t="str">
        <x:v>製造韌性</x:v>
      </x:c>
      <x:c r="E347" s="37" t="str">
        <x:v>製造、工程、製程、廠務、品質</x:v>
      </x:c>
      <x:c r="F347" s="37" t="str">
        <x:v>廠長、製程工程師、工業工程師、設備工程師</x:v>
      </x:c>
      <x:c r="G347" s="37" t="str">
        <x:v>現行作法對「區分材料、設備、參數與操作的貢獻」多靠人工彙整、個人經驗或事後處理，難以一致追蹤，造成決策延遲與重工。</x:v>
      </x:c>
      <x:c r="H347" s="37" t="str">
        <x:v>資料／事件接入；區分材料、設備、參數與操作的貢獻；證據與信心呈現；例外分流與人工覆核；聚焦改善成效追蹤；完整稽核軌跡</x:v>
      </x:c>
      <x:c r="I347" s="37" t="str">
        <x:v>跨文件／跨系統比對；圖譜推理；差異與缺口生成；專門模型焦點：區分材料、設備、參數與操作的貢獻</x:v>
      </x:c>
      <x:c r="J347" s="37" t="str">
        <x:v>以人機協作模式先產生草案與證據包，接受修改後執行核准步驟並建立完整稽核軌跡</x:v>
      </x:c>
      <x:c r="K347" s="37" t="str">
        <x:v>L2 建議／需核准</x:v>
      </x:c>
      <x:c r="L347" s="37" t="str">
        <x:v>感測、參數、配方、影像、工單、品質、能源、維護與環境資料</x:v>
      </x:c>
      <x:c r="M347" s="37" t="str">
        <x:v>MES、SCADA、PLC、QMS、PLM、EAM、ERP、數位孿生平台</x:v>
      </x:c>
      <x:c r="N347" s="37" t="str">
        <x:v>複雜產線需要在品質、產能、能耗與風險間做即時折衷，而非只顯示看板。Demo：匯入一組去識別資料，觸發「區分材料、設備、參數與操作的貢獻」，由系統提出證據、建議與下一步；使用者核准後回寫任務，最後呈現「聚焦改善」前後差異。</x:v>
      </x:c>
      <x:c r="O347" s="37" t="str">
        <x:v>中低</x:v>
      </x:c>
      <x:c r="P347" s="37" t="str">
        <x:v>鄰近既有能力：原有 MES/QMS/EAM 可能記錄與告警；本群聚焦跨目標最佳化、因果推理與自主建議。本 App 的獨立邊界是「區分材料、設備、參數與操作的貢獻」，主要產出為「聚焦改善」，不是一般登錄、查詢或看板。</x:v>
      </x:c>
      <x:c r="Q347" s="38" t="n">
        <x:v>5</x:v>
      </x:c>
      <x:c r="R347" s="38" t="n">
        <x:v>5</x:v>
      </x:c>
      <x:c r="S347" s="38" t="str">
        <x:v>P1</x:v>
      </x:c>
      <x:c r="T347" s="38" t="n">
        <x:v>11</x:v>
      </x:c>
      <x:c r="U347" s="39" t="str">
        <x:v>Wave 2 高價值套件</x:v>
      </x:c>
    </x:row>
    <x:row r="348" ht="86" customHeight="1">
      <x:c r="A348" s="36" t="str">
        <x:v>JV-344</x:v>
      </x:c>
      <x:c r="B348" s="37" t="str">
        <x:v>跨廠最佳實務移植助手</x:v>
      </x:c>
      <x:c r="C348" s="37" t="str">
        <x:v>Industrial AI 新應用</x:v>
      </x:c>
      <x:c r="D348" s="37" t="str">
        <x:v>製造韌性</x:v>
      </x:c>
      <x:c r="E348" s="37" t="str">
        <x:v>製造、工程、製程、廠務、品質</x:v>
      </x:c>
      <x:c r="F348" s="37" t="str">
        <x:v>廠長、製程工程師、工業工程師、設備工程師</x:v>
      </x:c>
      <x:c r="G348" s="37" t="str">
        <x:v>現行作法對「評估一廠參數與方法移植到他廠的條件」多靠人工彙整、個人經驗或事後處理，難以一致追蹤，造成決策延遲與重工。</x:v>
      </x:c>
      <x:c r="H348" s="37" t="str">
        <x:v>資料／事件接入；評估一廠參數與方法移植到他廠的條件；證據與信心呈現；例外分流與人工覆核；加速複製成效追蹤；完整稽核軌跡</x:v>
      </x:c>
      <x:c r="I348" s="37" t="str">
        <x:v>異常偵測；因果線索分析；可解釋的建議排序；專門模型焦點：評估一廠參數與方法移植到他廠的條件</x:v>
      </x:c>
      <x:c r="J348" s="37" t="str">
        <x:v>依目標自主規劃步驟、呼叫核准工具、遇到例外改走人工佇列，完成後驗證結果並回報</x:v>
      </x:c>
      <x:c r="K348" s="37" t="str">
        <x:v>L2 建議／需核准</x:v>
      </x:c>
      <x:c r="L348" s="37" t="str">
        <x:v>感測、參數、配方、影像、工單、品質、能源、維護與環境資料</x:v>
      </x:c>
      <x:c r="M348" s="37" t="str">
        <x:v>MES、SCADA、PLC、QMS、PLM、EAM、ERP、數位孿生平台</x:v>
      </x:c>
      <x:c r="N348" s="37" t="str">
        <x:v>複雜產線需要在品質、產能、能耗與風險間做即時折衷，而非只顯示看板。Demo：匯入一組去識別資料，觸發「評估一廠參數與方法移植到他廠的條件」，由系統提出證據、建議與下一步；使用者核准後回寫任務，最後呈現「加速複製」前後差異。</x:v>
      </x:c>
      <x:c r="O348" s="37" t="str">
        <x:v>中</x:v>
      </x:c>
      <x:c r="P348" s="37" t="str">
        <x:v>鄰近既有能力：原有 MES/QMS/EAM 可能記錄與告警；本群聚焦跨目標最佳化、因果推理與自主建議。本 App 的獨立邊界是「評估一廠參數與方法移植到他廠的條件」，主要產出為「加速複製」，不是一般登錄、查詢或看板。</x:v>
      </x:c>
      <x:c r="Q348" s="38" t="n">
        <x:v>5</x:v>
      </x:c>
      <x:c r="R348" s="38" t="n">
        <x:v>5</x:v>
      </x:c>
      <x:c r="S348" s="38" t="str">
        <x:v>P1</x:v>
      </x:c>
      <x:c r="T348" s="38" t="n">
        <x:v>11</x:v>
      </x:c>
      <x:c r="U348" s="39" t="str">
        <x:v>Wave 2 高價值套件</x:v>
      </x:c>
    </x:row>
    <x:row r="349" ht="86" customHeight="1">
      <x:c r="A349" s="36" t="str">
        <x:v>JV-345</x:v>
      </x:c>
      <x:c r="B349" s="37" t="str">
        <x:v>產線復原優先序 Agent</x:v>
      </x:c>
      <x:c r="C349" s="37" t="str">
        <x:v>Industrial AI 新應用</x:v>
      </x:c>
      <x:c r="D349" s="37" t="str">
        <x:v>製造韌性</x:v>
      </x:c>
      <x:c r="E349" s="37" t="str">
        <x:v>製造、工程、製程、廠務、品質</x:v>
      </x:c>
      <x:c r="F349" s="37" t="str">
        <x:v>廠長、製程工程師、工業工程師、設備工程師</x:v>
      </x:c>
      <x:c r="G349" s="37" t="str">
        <x:v>現行作法對「事故後依客戶、在製品與資源安排復機順序」多靠人工彙整、個人經驗或事後處理，難以一致追蹤，造成決策延遲與重工。</x:v>
      </x:c>
      <x:c r="H349" s="37" t="str">
        <x:v>資料／事件接入；事故後依客戶、在製品與資源安排復機順序；證據與信心呈現；例外分流與人工覆核；降低損失成效追蹤；完整稽核軌跡</x:v>
      </x:c>
      <x:c r="I349" s="37" t="str">
        <x:v>RAG 檢索與來源引用；規則＋模型混合判斷；矛盾檢查；專門模型焦點：事故後依客戶、在製品與資源安排復機順序</x:v>
      </x:c>
      <x:c r="J349" s="37" t="str">
        <x:v>與多個專業 Agent 協作拆解任務，保留交接證據、逾時升級並在失敗時安全回滾</x:v>
      </x:c>
      <x:c r="K349" s="37" t="str">
        <x:v>L2 建議／需核准</x:v>
      </x:c>
      <x:c r="L349" s="37" t="str">
        <x:v>感測、參數、配方、影像、工單、品質、能源、維護與環境資料</x:v>
      </x:c>
      <x:c r="M349" s="37" t="str">
        <x:v>MES、SCADA、PLC、QMS、PLM、EAM、ERP、數位孿生平台</x:v>
      </x:c>
      <x:c r="N349" s="37" t="str">
        <x:v>複雜產線需要在品質、產能、能耗與風險間做即時折衷，而非只顯示看板。Demo：匯入一組去識別資料，觸發「事故後依客戶、在製品與資源安排復機順序」，由系統提出證據、建議與下一步；使用者核准後回寫任務，最後呈現「降低損失」前後差異。</x:v>
      </x:c>
      <x:c r="O349" s="37" t="str">
        <x:v>中低</x:v>
      </x:c>
      <x:c r="P349" s="37" t="str">
        <x:v>鄰近既有能力：原有 MES/QMS/EAM 可能記錄與告警；本群聚焦跨目標最佳化、因果推理與自主建議。本 App 的獨立邊界是「事故後依客戶、在製品與資源安排復機順序」，主要產出為「降低損失」，不是一般登錄、查詢或看板。</x:v>
      </x:c>
      <x:c r="Q349" s="38" t="n">
        <x:v>5</x:v>
      </x:c>
      <x:c r="R349" s="38" t="n">
        <x:v>5</x:v>
      </x:c>
      <x:c r="S349" s="38" t="str">
        <x:v>P1</x:v>
      </x:c>
      <x:c r="T349" s="38" t="n">
        <x:v>11</x:v>
      </x:c>
      <x:c r="U349" s="39" t="str">
        <x:v>Wave 2 高價值套件</x:v>
      </x:c>
    </x:row>
    <x:row r="350" ht="86" customHeight="1">
      <x:c r="A350" s="36" t="str">
        <x:v>JV-346</x:v>
      </x:c>
      <x:c r="B350" s="37" t="str">
        <x:v>HS Code 證據型分類器</x:v>
      </x:c>
      <x:c r="C350" s="37" t="str">
        <x:v>國際貿易</x:v>
      </x:c>
      <x:c r="D350" s="37" t="str">
        <x:v>商品分類</x:v>
      </x:c>
      <x:c r="E350" s="37" t="str">
        <x:v>國貿、關務、供應鏈、法遵、財務</x:v>
      </x:c>
      <x:c r="F350" s="37" t="str">
        <x:v>國貿主管、報關人員、業務、供應鏈規劃師</x:v>
      </x:c>
      <x:c r="G350" s="37" t="str">
        <x:v>現行作法對「依材質、功能與組成提出代碼及判斷證據」多靠人工彙整、個人經驗或事後處理，難以一致追蹤，造成決策延遲與重工。</x:v>
      </x:c>
      <x:c r="H350" s="37" t="str">
        <x:v>資料／事件接入；依材質、功能與組成提出代碼及判斷證據；證據與信心呈現；例外分流與人工覆核；降低錯分成效追蹤；完整稽核軌跡</x:v>
      </x:c>
      <x:c r="I350" s="37" t="str">
        <x:v>語意分類與實體抽取；風險／信心評分；具證據的生成與摘要；專門模型焦點：依材質、功能與組成提出代碼及判斷證據</x:v>
      </x:c>
      <x:c r="J350" s="37" t="str">
        <x:v>持續監測事件，達門檻後建立案件、蒐集證據、指派責任並追蹤結案；高風險動作需人工核准</x:v>
      </x:c>
      <x:c r="K350" s="37" t="str">
        <x:v>L3 可執行／關鍵核准</x:v>
      </x:c>
      <x:c r="L350" s="37" t="str">
        <x:v>商品規格、BOM、交易方、產地、訂單、報關、物流、關稅與匯率</x:v>
      </x:c>
      <x:c r="M350" s="37" t="str">
        <x:v>ERP、TMS、報關系統、PLM、CRM、銀行、制裁資料源</x:v>
      </x:c>
      <x:c r="N350" s="37" t="str">
        <x:v>出口企業需在接單前正確判斷分類、管制、產地與落地成本。Demo：匯入一組去識別資料，觸發「依材質、功能與組成提出代碼及判斷證據」，由系統提出證據、建議與下一步；使用者核准後回寫任務，最後呈現「降低錯分」前後差異。</x:v>
      </x:c>
      <x:c r="O350" s="37" t="str">
        <x:v>中低</x:v>
      </x:c>
      <x:c r="P350" s="37" t="str">
        <x:v>鄰近既有能力：原有物流/進出口可能追蹤單據；本群聚焦分類推理、管制判斷與貿易成本最佳化。本 App 的獨立邊界是「依材質、功能與組成提出代碼及判斷證據」，主要產出為「降低錯分」，不是一般登錄、查詢或看板。</x:v>
      </x:c>
      <x:c r="Q350" s="38" t="n">
        <x:v>4</x:v>
      </x:c>
      <x:c r="R350" s="38" t="n">
        <x:v>3</x:v>
      </x:c>
      <x:c r="S350" s="38" t="str">
        <x:v>P1</x:v>
      </x:c>
      <x:c r="T350" s="38" t="n">
        <x:v>7</x:v>
      </x:c>
      <x:c r="U350" s="39" t="str">
        <x:v>Wave 2 高價值套件</x:v>
      </x:c>
    </x:row>
    <x:row r="351" ht="86" customHeight="1">
      <x:c r="A351" s="36" t="str">
        <x:v>JV-347</x:v>
      </x:c>
      <x:c r="B351" s="37" t="str">
        <x:v>分類歧異預警器</x:v>
      </x:c>
      <x:c r="C351" s="37" t="str">
        <x:v>國際貿易</x:v>
      </x:c>
      <x:c r="D351" s="37" t="str">
        <x:v>商品分類</x:v>
      </x:c>
      <x:c r="E351" s="37" t="str">
        <x:v>國貿、關務、供應鏈、法遵、財務</x:v>
      </x:c>
      <x:c r="F351" s="37" t="str">
        <x:v>國貿主管、報關人員、業務、供應鏈規劃師</x:v>
      </x:c>
      <x:c r="G351" s="37" t="str">
        <x:v>現行作法對「比較各國海關分類與歷史裁定差異」多靠人工彙整、個人經驗或事後處理，難以一致追蹤，造成決策延遲與重工。</x:v>
      </x:c>
      <x:c r="H351" s="37" t="str">
        <x:v>資料／事件接入；比較各國海關分類與歷史裁定差異；證據與信心呈現；例外分流與人工覆核；提前處理爭議成效追蹤；完整稽核軌跡</x:v>
      </x:c>
      <x:c r="I351" s="37" t="str">
        <x:v>預測與情境模擬；多目標最佳化；不確定性呈現；專門模型焦點：比較各國海關分類與歷史裁定差異</x:v>
      </x:c>
      <x:c r="J351" s="37" t="str">
        <x:v>定期掃描資料與外部訊號，提出優先序與建議；經核准後同步任務與更新來源系統</x:v>
      </x:c>
      <x:c r="K351" s="37" t="str">
        <x:v>L3 可執行／關鍵核准</x:v>
      </x:c>
      <x:c r="L351" s="37" t="str">
        <x:v>商品規格、BOM、交易方、產地、訂單、報關、物流、關稅與匯率</x:v>
      </x:c>
      <x:c r="M351" s="37" t="str">
        <x:v>ERP、TMS、報關系統、PLM、CRM、銀行、制裁資料源</x:v>
      </x:c>
      <x:c r="N351" s="37" t="str">
        <x:v>出口企業需在接單前正確判斷分類、管制、產地與落地成本。Demo：匯入一組去識別資料，觸發「比較各國海關分類與歷史裁定差異」，由系統提出證據、建議與下一步；使用者核准後回寫任務，最後呈現「提前處理爭議」前後差異。</x:v>
      </x:c>
      <x:c r="O351" s="37" t="str">
        <x:v>低</x:v>
      </x:c>
      <x:c r="P351" s="37" t="str">
        <x:v>鄰近既有能力：原有物流/進出口可能追蹤單據；本群聚焦分類推理、管制判斷與貿易成本最佳化。本 App 的獨立邊界是「比較各國海關分類與歷史裁定差異」，主要產出為「提前處理爭議」，不是一般登錄、查詢或看板。</x:v>
      </x:c>
      <x:c r="Q351" s="38" t="n">
        <x:v>4</x:v>
      </x:c>
      <x:c r="R351" s="38" t="n">
        <x:v>4</x:v>
      </x:c>
      <x:c r="S351" s="38" t="str">
        <x:v>P1</x:v>
      </x:c>
      <x:c r="T351" s="38" t="n">
        <x:v>9</x:v>
      </x:c>
      <x:c r="U351" s="39" t="str">
        <x:v>Wave 2 高價值套件</x:v>
      </x:c>
    </x:row>
    <x:row r="352" ht="86" customHeight="1">
      <x:c r="A352" s="36" t="str">
        <x:v>JV-348</x:v>
      </x:c>
      <x:c r="B352" s="37" t="str">
        <x:v>商品主檔分類缺口掃描器</x:v>
      </x:c>
      <x:c r="C352" s="37" t="str">
        <x:v>國際貿易</x:v>
      </x:c>
      <x:c r="D352" s="37" t="str">
        <x:v>商品分類</x:v>
      </x:c>
      <x:c r="E352" s="37" t="str">
        <x:v>國貿、關務、供應鏈、法遵、財務</x:v>
      </x:c>
      <x:c r="F352" s="37" t="str">
        <x:v>國貿主管、報關人員、業務、供應鏈規劃師</x:v>
      </x:c>
      <x:c r="G352" s="37" t="str">
        <x:v>現行作法對「找出描述不足或代碼過期的料號」多靠人工彙整、個人經驗或事後處理，難以一致追蹤，造成決策延遲與重工。</x:v>
      </x:c>
      <x:c r="H352" s="37" t="str">
        <x:v>資料／事件接入；找出描述不足或代碼過期的料號；證據與信心呈現；例外分流與人工覆核；改善主檔成效追蹤；完整稽核軌跡</x:v>
      </x:c>
      <x:c r="I352" s="37" t="str">
        <x:v>跨文件／跨系統比對；圖譜推理；差異與缺口生成；專門模型焦點：找出描述不足或代碼過期的料號</x:v>
      </x:c>
      <x:c r="J352" s="37" t="str">
        <x:v>以人機協作模式先產生草案與證據包，接受修改後執行核准步驟並建立完整稽核軌跡</x:v>
      </x:c>
      <x:c r="K352" s="37" t="str">
        <x:v>L3 可執行／關鍵核准</x:v>
      </x:c>
      <x:c r="L352" s="37" t="str">
        <x:v>商品規格、BOM、交易方、產地、訂單、報關、物流、關稅與匯率</x:v>
      </x:c>
      <x:c r="M352" s="37" t="str">
        <x:v>ERP、TMS、報關系統、PLM、CRM、銀行、制裁資料源</x:v>
      </x:c>
      <x:c r="N352" s="37" t="str">
        <x:v>出口企業需在接單前正確判斷分類、管制、產地與落地成本。Demo：匯入一組去識別資料，觸發「找出描述不足或代碼過期的料號」，由系統提出證據、建議與下一步；使用者核准後回寫任務，最後呈現「改善主檔」前後差異。</x:v>
      </x:c>
      <x:c r="O352" s="37" t="str">
        <x:v>低</x:v>
      </x:c>
      <x:c r="P352" s="37" t="str">
        <x:v>鄰近既有能力：原有物流/進出口可能追蹤單據；本群聚焦分類推理、管制判斷與貿易成本最佳化。本 App 的獨立邊界是「找出描述不足或代碼過期的料號」，主要產出為「改善主檔」，不是一般登錄、查詢或看板。</x:v>
      </x:c>
      <x:c r="Q352" s="38" t="n">
        <x:v>4</x:v>
      </x:c>
      <x:c r="R352" s="38" t="n">
        <x:v>4</x:v>
      </x:c>
      <x:c r="S352" s="38" t="str">
        <x:v>P1</x:v>
      </x:c>
      <x:c r="T352" s="38" t="n">
        <x:v>9</x:v>
      </x:c>
      <x:c r="U352" s="39" t="str">
        <x:v>Wave 2 高價值套件</x:v>
      </x:c>
    </x:row>
    <x:row r="353" ht="86" customHeight="1">
      <x:c r="A353" s="36" t="str">
        <x:v>JV-349</x:v>
      </x:c>
      <x:c r="B353" s="37" t="str">
        <x:v>新品分類問卷 Agent</x:v>
      </x:c>
      <x:c r="C353" s="37" t="str">
        <x:v>國際貿易</x:v>
      </x:c>
      <x:c r="D353" s="37" t="str">
        <x:v>商品分類</x:v>
      </x:c>
      <x:c r="E353" s="37" t="str">
        <x:v>國貿、關務、供應鏈、法遵、財務</x:v>
      </x:c>
      <x:c r="F353" s="37" t="str">
        <x:v>國貿主管、報關人員、業務、供應鏈規劃師</x:v>
      </x:c>
      <x:c r="G353" s="37" t="str">
        <x:v>現行作法對「向研發收集分類所需技術事實」多靠人工彙整、個人經驗或事後處理，難以一致追蹤，造成決策延遲與重工。</x:v>
      </x:c>
      <x:c r="H353" s="37" t="str">
        <x:v>資料／事件接入；向研發收集分類所需技術事實；證據與信心呈現；例外分流與人工覆核；加速新品出口成效追蹤；完整稽核軌跡</x:v>
      </x:c>
      <x:c r="I353" s="37" t="str">
        <x:v>異常偵測；因果線索分析；可解釋的建議排序；專門模型焦點：向研發收集分類所需技術事實</x:v>
      </x:c>
      <x:c r="J353" s="37" t="str">
        <x:v>依目標自主規劃步驟、呼叫核准工具、遇到例外改走人工佇列，完成後驗證結果並回報</x:v>
      </x:c>
      <x:c r="K353" s="37" t="str">
        <x:v>L3 可執行／關鍵核准</x:v>
      </x:c>
      <x:c r="L353" s="37" t="str">
        <x:v>商品規格、BOM、交易方、產地、訂單、報關、物流、關稅與匯率</x:v>
      </x:c>
      <x:c r="M353" s="37" t="str">
        <x:v>ERP、TMS、報關系統、PLM、CRM、銀行、制裁資料源</x:v>
      </x:c>
      <x:c r="N353" s="37" t="str">
        <x:v>出口企業需在接單前正確判斷分類、管制、產地與落地成本。Demo：匯入一組去識別資料，觸發「向研發收集分類所需技術事實」，由系統提出證據、建議與下一步；使用者核准後回寫任務，最後呈現「加速新品出口」前後差異。</x:v>
      </x:c>
      <x:c r="O353" s="37" t="str">
        <x:v>低</x:v>
      </x:c>
      <x:c r="P353" s="37" t="str">
        <x:v>鄰近既有能力：原有物流/進出口可能追蹤單據；本群聚焦分類推理、管制判斷與貿易成本最佳化。本 App 的獨立邊界是「向研發收集分類所需技術事實」，主要產出為「加速新品出口」，不是一般登錄、查詢或看板。</x:v>
      </x:c>
      <x:c r="Q353" s="38" t="n">
        <x:v>3</x:v>
      </x:c>
      <x:c r="R353" s="38" t="n">
        <x:v>4</x:v>
      </x:c>
      <x:c r="S353" s="38" t="str">
        <x:v>P2</x:v>
      </x:c>
      <x:c r="T353" s="38" t="n">
        <x:v>9</x:v>
      </x:c>
      <x:c r="U353" s="39" t="str">
        <x:v>Wave 3 垂直擴充</x:v>
      </x:c>
    </x:row>
    <x:row r="354" ht="86" customHeight="1">
      <x:c r="A354" s="36" t="str">
        <x:v>JV-350</x:v>
      </x:c>
      <x:c r="B354" s="37" t="str">
        <x:v>海關裁定申請包產生器</x:v>
      </x:c>
      <x:c r="C354" s="37" t="str">
        <x:v>國際貿易</x:v>
      </x:c>
      <x:c r="D354" s="37" t="str">
        <x:v>商品分類</x:v>
      </x:c>
      <x:c r="E354" s="37" t="str">
        <x:v>國貿、關務、供應鏈、法遵、財務</x:v>
      </x:c>
      <x:c r="F354" s="37" t="str">
        <x:v>國貿主管、報關人員、業務、供應鏈規劃師</x:v>
      </x:c>
      <x:c r="G354" s="37" t="str">
        <x:v>現行作法對「彙整規格、圖示、論證與替代代碼」多靠人工彙整、個人經驗或事後處理，難以一致追蹤，造成決策延遲與重工。</x:v>
      </x:c>
      <x:c r="H354" s="37" t="str">
        <x:v>資料／事件接入；彙整規格、圖示、論證與替代代碼；證據與信心呈現；例外分流與人工覆核；提高申請效率成效追蹤；完整稽核軌跡</x:v>
      </x:c>
      <x:c r="I354" s="37" t="str">
        <x:v>RAG 檢索與來源引用；規則＋模型混合判斷；矛盾檢查；專門模型焦點：彙整規格、圖示、論證與替代代碼</x:v>
      </x:c>
      <x:c r="J354" s="37" t="str">
        <x:v>與多個專業 Agent 協作拆解任務，保留交接證據、逾時升級並在失敗時安全回滾</x:v>
      </x:c>
      <x:c r="K354" s="37" t="str">
        <x:v>L2 建議／需核准</x:v>
      </x:c>
      <x:c r="L354" s="37" t="str">
        <x:v>商品規格、BOM、交易方、產地、訂單、報關、物流、關稅與匯率</x:v>
      </x:c>
      <x:c r="M354" s="37" t="str">
        <x:v>ERP、TMS、報關系統、PLM、CRM、銀行、制裁資料源</x:v>
      </x:c>
      <x:c r="N354" s="37" t="str">
        <x:v>出口企業需在接單前正確判斷分類、管制、產地與落地成本。Demo：匯入一組去識別資料，觸發「彙整規格、圖示、論證與替代代碼」，由系統提出證據、建議與下一步；使用者核准後回寫任務，最後呈現「提高申請效率」前後差異。</x:v>
      </x:c>
      <x:c r="O354" s="37" t="str">
        <x:v>中低</x:v>
      </x:c>
      <x:c r="P354" s="37" t="str">
        <x:v>鄰近既有能力：原有物流/進出口可能追蹤單據；本群聚焦分類推理、管制判斷與貿易成本最佳化。本 App 的獨立邊界是「彙整規格、圖示、論證與替代代碼」，主要產出為「提高申請效率」，不是一般登錄、查詢或看板。</x:v>
      </x:c>
      <x:c r="Q354" s="38" t="n">
        <x:v>4</x:v>
      </x:c>
      <x:c r="R354" s="38" t="n">
        <x:v>5</x:v>
      </x:c>
      <x:c r="S354" s="38" t="str">
        <x:v>P1</x:v>
      </x:c>
      <x:c r="T354" s="38" t="n">
        <x:v>11</x:v>
      </x:c>
      <x:c r="U354" s="39" t="str">
        <x:v>Wave 2 高價值套件</x:v>
      </x:c>
    </x:row>
    <x:row r="355" ht="86" customHeight="1">
      <x:c r="A355" s="36" t="str">
        <x:v>JV-351</x:v>
      </x:c>
      <x:c r="B355" s="37" t="str">
        <x:v>原產地規則判定器</x:v>
      </x:c>
      <x:c r="C355" s="37" t="str">
        <x:v>國際貿易</x:v>
      </x:c>
      <x:c r="D355" s="37" t="str">
        <x:v>產地與優惠</x:v>
      </x:c>
      <x:c r="E355" s="37" t="str">
        <x:v>國貿、關務、供應鏈、法遵、財務</x:v>
      </x:c>
      <x:c r="F355" s="37" t="str">
        <x:v>國貿主管、報關人員、業務、供應鏈規劃師</x:v>
      </x:c>
      <x:c r="G355" s="37" t="str">
        <x:v>現行作法對「依 BOM、製程與協定規則計算資格」多靠人工彙整、個人經驗或事後處理，難以一致追蹤，造成決策延遲與重工。</x:v>
      </x:c>
      <x:c r="H355" s="37" t="str">
        <x:v>資料／事件接入；依 BOM、製程與協定規則計算資格；證據與信心呈現；例外分流與人工覆核；正確使用優惠成效追蹤；完整稽核軌跡</x:v>
      </x:c>
      <x:c r="I355" s="37" t="str">
        <x:v>語意分類與實體抽取；風險／信心評分；具證據的生成與摘要；專門模型焦點：依 BOM、製程與協定規則計算資格</x:v>
      </x:c>
      <x:c r="J355" s="37" t="str">
        <x:v>持續監測事件，達門檻後建立案件、蒐集證據、指派責任並追蹤結案；高風險動作需人工核准</x:v>
      </x:c>
      <x:c r="K355" s="37" t="str">
        <x:v>L3 可執行／關鍵核准</x:v>
      </x:c>
      <x:c r="L355" s="37" t="str">
        <x:v>商品規格、BOM、交易方、產地、訂單、報關、物流、關稅與匯率</x:v>
      </x:c>
      <x:c r="M355" s="37" t="str">
        <x:v>ERP、TMS、報關系統、PLM、CRM、銀行、制裁資料源</x:v>
      </x:c>
      <x:c r="N355" s="37" t="str">
        <x:v>出口企業需在接單前正確判斷分類、管制、產地與落地成本。Demo：匯入一組去識別資料，觸發「依 BOM、製程與協定規則計算資格」，由系統提出證據、建議與下一步；使用者核准後回寫任務，最後呈現「正確使用優惠」前後差異。</x:v>
      </x:c>
      <x:c r="O355" s="37" t="str">
        <x:v>中低</x:v>
      </x:c>
      <x:c r="P355" s="37" t="str">
        <x:v>鄰近既有能力：原有物流/進出口可能追蹤單據；本群聚焦分類推理、管制判斷與貿易成本最佳化。本 App 的獨立邊界是「依 BOM、製程與協定規則計算資格」，主要產出為「正確使用優惠」，不是一般登錄、查詢或看板。</x:v>
      </x:c>
      <x:c r="Q355" s="38" t="n">
        <x:v>4</x:v>
      </x:c>
      <x:c r="R355" s="38" t="n">
        <x:v>3</x:v>
      </x:c>
      <x:c r="S355" s="38" t="str">
        <x:v>P1</x:v>
      </x:c>
      <x:c r="T355" s="38" t="n">
        <x:v>7</x:v>
      </x:c>
      <x:c r="U355" s="39" t="str">
        <x:v>Wave 2 高價值套件</x:v>
      </x:c>
    </x:row>
    <x:row r="356" ht="86" customHeight="1">
      <x:c r="A356" s="36" t="str">
        <x:v>JV-352</x:v>
      </x:c>
      <x:c r="B356" s="37" t="str">
        <x:v>供應商產地證明追蹤 Agent</x:v>
      </x:c>
      <x:c r="C356" s="37" t="str">
        <x:v>國際貿易</x:v>
      </x:c>
      <x:c r="D356" s="37" t="str">
        <x:v>產地與優惠</x:v>
      </x:c>
      <x:c r="E356" s="37" t="str">
        <x:v>國貿、關務、供應鏈、法遵、財務</x:v>
      </x:c>
      <x:c r="F356" s="37" t="str">
        <x:v>國貿主管、報關人員、業務、供應鏈規劃師</x:v>
      </x:c>
      <x:c r="G356" s="37" t="str">
        <x:v>現行作法對「催收、驗證效期與異常聲明」多靠人工彙整、個人經驗或事後處理，難以一致追蹤，造成決策延遲與重工。</x:v>
      </x:c>
      <x:c r="H356" s="37" t="str">
        <x:v>資料／事件接入；催收、驗證效期與異常聲明；證據與信心呈現；例外分流與人工覆核；維持證據完整成效追蹤；完整稽核軌跡</x:v>
      </x:c>
      <x:c r="I356" s="37" t="str">
        <x:v>預測與情境模擬；多目標最佳化；不確定性呈現；專門模型焦點：催收、驗證效期與異常聲明</x:v>
      </x:c>
      <x:c r="J356" s="37" t="str">
        <x:v>定期掃描資料與外部訊號，提出優先序與建議；經核准後同步任務與更新來源系統</x:v>
      </x:c>
      <x:c r="K356" s="37" t="str">
        <x:v>L3 可執行／關鍵核准</x:v>
      </x:c>
      <x:c r="L356" s="37" t="str">
        <x:v>商品規格、BOM、交易方、產地、訂單、報關、物流、關稅與匯率</x:v>
      </x:c>
      <x:c r="M356" s="37" t="str">
        <x:v>ERP、TMS、報關系統、PLM、CRM、銀行、制裁資料源</x:v>
      </x:c>
      <x:c r="N356" s="37" t="str">
        <x:v>出口企業需在接單前正確判斷分類、管制、產地與落地成本。Demo：匯入一組去識別資料，觸發「催收、驗證效期與異常聲明」，由系統提出證據、建議與下一步；使用者核准後回寫任務，最後呈現「維持證據完整」前後差異。</x:v>
      </x:c>
      <x:c r="O356" s="37" t="str">
        <x:v>低</x:v>
      </x:c>
      <x:c r="P356" s="37" t="str">
        <x:v>鄰近既有能力：原有物流/進出口可能追蹤單據；本群聚焦分類推理、管制判斷與貿易成本最佳化。本 App 的獨立邊界是「催收、驗證效期與異常聲明」，主要產出為「維持證據完整」，不是一般登錄、查詢或看板。</x:v>
      </x:c>
      <x:c r="Q356" s="38" t="n">
        <x:v>4</x:v>
      </x:c>
      <x:c r="R356" s="38" t="n">
        <x:v>4</x:v>
      </x:c>
      <x:c r="S356" s="38" t="str">
        <x:v>P1</x:v>
      </x:c>
      <x:c r="T356" s="38" t="n">
        <x:v>9</x:v>
      </x:c>
      <x:c r="U356" s="39" t="str">
        <x:v>Wave 2 高價值套件</x:v>
      </x:c>
    </x:row>
    <x:row r="357" ht="86" customHeight="1">
      <x:c r="A357" s="36" t="str">
        <x:v>JV-353</x:v>
      </x:c>
      <x:c r="B357" s="37" t="str">
        <x:v>FTA 節稅機會探索器</x:v>
      </x:c>
      <x:c r="C357" s="37" t="str">
        <x:v>國際貿易</x:v>
      </x:c>
      <x:c r="D357" s="37" t="str">
        <x:v>產地與優惠</x:v>
      </x:c>
      <x:c r="E357" s="37" t="str">
        <x:v>國貿、關務、供應鏈、法遵、財務</x:v>
      </x:c>
      <x:c r="F357" s="37" t="str">
        <x:v>國貿主管、報關人員、業務、供應鏈規劃師</x:v>
      </x:c>
      <x:c r="G357" s="37" t="str">
        <x:v>現行作法對「比較不同供應與製造配置的關稅節省」多靠人工彙整、個人經驗或事後處理，難以一致追蹤，造成決策延遲與重工。</x:v>
      </x:c>
      <x:c r="H357" s="37" t="str">
        <x:v>資料／事件接入；比較不同供應與製造配置的關稅節省；證據與信心呈現；例外分流與人工覆核；支援布局成效追蹤；完整稽核軌跡</x:v>
      </x:c>
      <x:c r="I357" s="37" t="str">
        <x:v>跨文件／跨系統比對；圖譜推理；差異與缺口生成；專門模型焦點：比較不同供應與製造配置的關稅節省</x:v>
      </x:c>
      <x:c r="J357" s="37" t="str">
        <x:v>以人機協作模式先產生草案與證據包，接受修改後執行核准步驟並建立完整稽核軌跡</x:v>
      </x:c>
      <x:c r="K357" s="37" t="str">
        <x:v>L3 可執行／關鍵核准</x:v>
      </x:c>
      <x:c r="L357" s="37" t="str">
        <x:v>商品規格、BOM、交易方、產地、訂單、報關、物流、關稅與匯率</x:v>
      </x:c>
      <x:c r="M357" s="37" t="str">
        <x:v>ERP、TMS、報關系統、PLM、CRM、銀行、制裁資料源</x:v>
      </x:c>
      <x:c r="N357" s="37" t="str">
        <x:v>出口企業需在接單前正確判斷分類、管制、產地與落地成本。Demo：匯入一組去識別資料，觸發「比較不同供應與製造配置的關稅節省」，由系統提出證據、建議與下一步；使用者核准後回寫任務，最後呈現「支援布局」前後差異。</x:v>
      </x:c>
      <x:c r="O357" s="37" t="str">
        <x:v>低</x:v>
      </x:c>
      <x:c r="P357" s="37" t="str">
        <x:v>鄰近既有能力：原有物流/進出口可能追蹤單據；本群聚焦分類推理、管制判斷與貿易成本最佳化。本 App 的獨立邊界是「比較不同供應與製造配置的關稅節省」，主要產出為「支援布局」，不是一般登錄、查詢或看板。</x:v>
      </x:c>
      <x:c r="Q357" s="38" t="n">
        <x:v>4</x:v>
      </x:c>
      <x:c r="R357" s="38" t="n">
        <x:v>4</x:v>
      </x:c>
      <x:c r="S357" s="38" t="str">
        <x:v>P1</x:v>
      </x:c>
      <x:c r="T357" s="38" t="n">
        <x:v>9</x:v>
      </x:c>
      <x:c r="U357" s="39" t="str">
        <x:v>Wave 2 高價值套件</x:v>
      </x:c>
    </x:row>
    <x:row r="358" ht="86" customHeight="1">
      <x:c r="A358" s="36" t="str">
        <x:v>JV-354</x:v>
      </x:c>
      <x:c r="B358" s="37" t="str">
        <x:v>非優惠產地風險模擬器</x:v>
      </x:c>
      <x:c r="C358" s="37" t="str">
        <x:v>國際貿易</x:v>
      </x:c>
      <x:c r="D358" s="37" t="str">
        <x:v>產地與優惠</x:v>
      </x:c>
      <x:c r="E358" s="37" t="str">
        <x:v>國貿、關務、供應鏈、法遵、財務</x:v>
      </x:c>
      <x:c r="F358" s="37" t="str">
        <x:v>國貿主管、報關人員、業務、供應鏈規劃師</x:v>
      </x:c>
      <x:c r="G358" s="37" t="str">
        <x:v>現行作法對「分析轉運、實質轉型與標示風險」多靠人工彙整、個人經驗或事後處理，難以一致追蹤，造成決策延遲與重工。</x:v>
      </x:c>
      <x:c r="H358" s="37" t="str">
        <x:v>資料／事件接入；分析轉運、實質轉型與標示風險；證據與信心呈現；例外分流與人工覆核；避免規避認定成效追蹤；完整稽核軌跡</x:v>
      </x:c>
      <x:c r="I358" s="37" t="str">
        <x:v>異常偵測；因果線索分析；可解釋的建議排序；專門模型焦點：分析轉運、實質轉型與標示風險</x:v>
      </x:c>
      <x:c r="J358" s="37" t="str">
        <x:v>依目標自主規劃步驟、呼叫核准工具、遇到例外改走人工佇列，完成後驗證結果並回報</x:v>
      </x:c>
      <x:c r="K358" s="37" t="str">
        <x:v>L3 可執行／關鍵核准</x:v>
      </x:c>
      <x:c r="L358" s="37" t="str">
        <x:v>商品規格、BOM、交易方、產地、訂單、報關、物流、關稅與匯率</x:v>
      </x:c>
      <x:c r="M358" s="37" t="str">
        <x:v>ERP、TMS、報關系統、PLM、CRM、銀行、制裁資料源</x:v>
      </x:c>
      <x:c r="N358" s="37" t="str">
        <x:v>出口企業需在接單前正確判斷分類、管制、產地與落地成本。Demo：匯入一組去識別資料，觸發「分析轉運、實質轉型與標示風險」，由系統提出證據、建議與下一步；使用者核准後回寫任務，最後呈現「避免規避認定」前後差異。</x:v>
      </x:c>
      <x:c r="O358" s="37" t="str">
        <x:v>低</x:v>
      </x:c>
      <x:c r="P358" s="37" t="str">
        <x:v>鄰近既有能力：原有物流/進出口可能追蹤單據；本群聚焦分類推理、管制判斷與貿易成本最佳化。本 App 的獨立邊界是「分析轉運、實質轉型與標示風險」，主要產出為「避免規避認定」，不是一般登錄、查詢或看板。</x:v>
      </x:c>
      <x:c r="Q358" s="38" t="n">
        <x:v>4</x:v>
      </x:c>
      <x:c r="R358" s="38" t="n">
        <x:v>4</x:v>
      </x:c>
      <x:c r="S358" s="38" t="str">
        <x:v>P1</x:v>
      </x:c>
      <x:c r="T358" s="38" t="n">
        <x:v>9</x:v>
      </x:c>
      <x:c r="U358" s="39" t="str">
        <x:v>Wave 2 高價值套件</x:v>
      </x:c>
    </x:row>
    <x:row r="359" ht="86" customHeight="1">
      <x:c r="A359" s="36" t="str">
        <x:v>JV-355</x:v>
      </x:c>
      <x:c r="B359" s="37" t="str">
        <x:v>產地稽核證據包</x:v>
      </x:c>
      <x:c r="C359" s="37" t="str">
        <x:v>國際貿易</x:v>
      </x:c>
      <x:c r="D359" s="37" t="str">
        <x:v>產地與優惠</x:v>
      </x:c>
      <x:c r="E359" s="37" t="str">
        <x:v>國貿、關務、供應鏈、法遵、財務</x:v>
      </x:c>
      <x:c r="F359" s="37" t="str">
        <x:v>國貿主管、報關人員、業務、供應鏈規劃師</x:v>
      </x:c>
      <x:c r="G359" s="37" t="str">
        <x:v>現行作法對「從交易追到材料、製程與證明文件」多靠人工彙整、個人經驗或事後處理，難以一致追蹤，造成決策延遲與重工。</x:v>
      </x:c>
      <x:c r="H359" s="37" t="str">
        <x:v>資料／事件接入；從交易追到材料、製程與證明文件；證據與信心呈現；例外分流與人工覆核；縮短查核成效追蹤；完整稽核軌跡</x:v>
      </x:c>
      <x:c r="I359" s="37" t="str">
        <x:v>RAG 檢索與來源引用；規則＋模型混合判斷；矛盾檢查；專門模型焦點：從交易追到材料、製程與證明文件</x:v>
      </x:c>
      <x:c r="J359" s="37" t="str">
        <x:v>與多個專業 Agent 協作拆解任務，保留交接證據、逾時升級並在失敗時安全回滾</x:v>
      </x:c>
      <x:c r="K359" s="37" t="str">
        <x:v>L2 建議／需核准</x:v>
      </x:c>
      <x:c r="L359" s="37" t="str">
        <x:v>商品規格、BOM、交易方、產地、訂單、報關、物流、關稅與匯率</x:v>
      </x:c>
      <x:c r="M359" s="37" t="str">
        <x:v>ERP、TMS、報關系統、PLM、CRM、銀行、制裁資料源</x:v>
      </x:c>
      <x:c r="N359" s="37" t="str">
        <x:v>出口企業需在接單前正確判斷分類、管制、產地與落地成本。Demo：匯入一組去識別資料，觸發「從交易追到材料、製程與證明文件」，由系統提出證據、建議與下一步；使用者核准後回寫任務，最後呈現「縮短查核」前後差異。</x:v>
      </x:c>
      <x:c r="O359" s="37" t="str">
        <x:v>中低</x:v>
      </x:c>
      <x:c r="P359" s="37" t="str">
        <x:v>鄰近既有能力：原有物流/進出口可能追蹤單據；本群聚焦分類推理、管制判斷與貿易成本最佳化。本 App 的獨立邊界是「從交易追到材料、製程與證明文件」，主要產出為「縮短查核」，不是一般登錄、查詢或看板。</x:v>
      </x:c>
      <x:c r="Q359" s="38" t="n">
        <x:v>3</x:v>
      </x:c>
      <x:c r="R359" s="38" t="n">
        <x:v>5</x:v>
      </x:c>
      <x:c r="S359" s="38" t="str">
        <x:v>P2</x:v>
      </x:c>
      <x:c r="T359" s="38" t="n">
        <x:v>11</x:v>
      </x:c>
      <x:c r="U359" s="39" t="str">
        <x:v>Wave 3 垂直擴充</x:v>
      </x:c>
    </x:row>
    <x:row r="360" ht="86" customHeight="1">
      <x:c r="A360" s="36" t="str">
        <x:v>JV-356</x:v>
      </x:c>
      <x:c r="B360" s="37" t="str">
        <x:v>ECCN／管制碼分類助手</x:v>
      </x:c>
      <x:c r="C360" s="37" t="str">
        <x:v>國際貿易</x:v>
      </x:c>
      <x:c r="D360" s="37" t="str">
        <x:v>出口管制</x:v>
      </x:c>
      <x:c r="E360" s="37" t="str">
        <x:v>國貿、關務、供應鏈、法遵、財務</x:v>
      </x:c>
      <x:c r="F360" s="37" t="str">
        <x:v>國貿主管、報關人員、業務、供應鏈規劃師</x:v>
      </x:c>
      <x:c r="G360" s="37" t="str">
        <x:v>現行作法對「以技術參數比對管制清單與例外」多靠人工彙整、個人經驗或事後處理，難以一致追蹤，造成決策延遲與重工。</x:v>
      </x:c>
      <x:c r="H360" s="37" t="str">
        <x:v>資料／事件接入；以技術參數比對管制清單與例外；證據與信心呈現；例外分流與人工覆核；提高判斷一致性成效追蹤；完整稽核軌跡</x:v>
      </x:c>
      <x:c r="I360" s="37" t="str">
        <x:v>語意分類與實體抽取；風險／信心評分；具證據的生成與摘要；專門模型焦點：以技術參數比對管制清單與例外</x:v>
      </x:c>
      <x:c r="J360" s="37" t="str">
        <x:v>持續監測事件，達門檻後建立案件、蒐集證據、指派責任並追蹤結案；高風險動作需人工核准</x:v>
      </x:c>
      <x:c r="K360" s="37" t="str">
        <x:v>L3 可執行／關鍵核准</x:v>
      </x:c>
      <x:c r="L360" s="37" t="str">
        <x:v>商品規格、BOM、交易方、產地、訂單、報關、物流、關稅與匯率</x:v>
      </x:c>
      <x:c r="M360" s="37" t="str">
        <x:v>ERP、TMS、報關系統、PLM、CRM、銀行、制裁資料源</x:v>
      </x:c>
      <x:c r="N360" s="37" t="str">
        <x:v>出口企業需在接單前正確判斷分類、管制、產地與落地成本。Demo：匯入一組去識別資料，觸發「以技術參數比對管制清單與例外」，由系統提出證據、建議與下一步；使用者核准後回寫任務，最後呈現「提高判斷一致性」前後差異。</x:v>
      </x:c>
      <x:c r="O360" s="37" t="str">
        <x:v>中低</x:v>
      </x:c>
      <x:c r="P360" s="37" t="str">
        <x:v>鄰近既有能力：原有物流/進出口可能追蹤單據；本群聚焦分類推理、管制判斷與貿易成本最佳化。本 App 的獨立邊界是「以技術參數比對管制清單與例外」，主要產出為「提高判斷一致性」，不是一般登錄、查詢或看板。</x:v>
      </x:c>
      <x:c r="Q360" s="38" t="n">
        <x:v>4</x:v>
      </x:c>
      <x:c r="R360" s="38" t="n">
        <x:v>3</x:v>
      </x:c>
      <x:c r="S360" s="38" t="str">
        <x:v>P1</x:v>
      </x:c>
      <x:c r="T360" s="38" t="n">
        <x:v>7</x:v>
      </x:c>
      <x:c r="U360" s="39" t="str">
        <x:v>Wave 2 高價值套件</x:v>
      </x:c>
    </x:row>
    <x:row r="361" ht="86" customHeight="1">
      <x:c r="A361" s="36" t="str">
        <x:v>JV-357</x:v>
      </x:c>
      <x:c r="B361" s="37" t="str">
        <x:v>最終用途風險訪談 Agent</x:v>
      </x:c>
      <x:c r="C361" s="37" t="str">
        <x:v>國際貿易</x:v>
      </x:c>
      <x:c r="D361" s="37" t="str">
        <x:v>出口管制</x:v>
      </x:c>
      <x:c r="E361" s="37" t="str">
        <x:v>國貿、關務、供應鏈、法遵、財務</x:v>
      </x:c>
      <x:c r="F361" s="37" t="str">
        <x:v>國貿主管、報關人員、業務、供應鏈規劃師</x:v>
      </x:c>
      <x:c r="G361" s="37" t="str">
        <x:v>現行作法對「依產品與客戶動態追問可疑用途」多靠人工彙整、個人經驗或事後處理，難以一致追蹤，造成決策延遲與重工。</x:v>
      </x:c>
      <x:c r="H361" s="37" t="str">
        <x:v>資料／事件接入；依產品與客戶動態追問可疑用途；證據與信心呈現；例外分流與人工覆核；補足盡職調查成效追蹤；完整稽核軌跡</x:v>
      </x:c>
      <x:c r="I361" s="37" t="str">
        <x:v>預測與情境模擬；多目標最佳化；不確定性呈現；專門模型焦點：依產品與客戶動態追問可疑用途</x:v>
      </x:c>
      <x:c r="J361" s="37" t="str">
        <x:v>定期掃描資料與外部訊號，提出優先序與建議；經核准後同步任務與更新來源系統</x:v>
      </x:c>
      <x:c r="K361" s="37" t="str">
        <x:v>L3 可執行／關鍵核准</x:v>
      </x:c>
      <x:c r="L361" s="37" t="str">
        <x:v>商品規格、BOM、交易方、產地、訂單、報關、物流、關稅與匯率</x:v>
      </x:c>
      <x:c r="M361" s="37" t="str">
        <x:v>ERP、TMS、報關系統、PLM、CRM、銀行、制裁資料源</x:v>
      </x:c>
      <x:c r="N361" s="37" t="str">
        <x:v>出口企業需在接單前正確判斷分類、管制、產地與落地成本。Demo：匯入一組去識別資料，觸發「依產品與客戶動態追問可疑用途」，由系統提出證據、建議與下一步；使用者核准後回寫任務，最後呈現「補足盡職調查」前後差異。</x:v>
      </x:c>
      <x:c r="O361" s="37" t="str">
        <x:v>低</x:v>
      </x:c>
      <x:c r="P361" s="37" t="str">
        <x:v>鄰近既有能力：原有物流/進出口可能追蹤單據；本群聚焦分類推理、管制判斷與貿易成本最佳化。本 App 的獨立邊界是「依產品與客戶動態追問可疑用途」，主要產出為「補足盡職調查」，不是一般登錄、查詢或看板。</x:v>
      </x:c>
      <x:c r="Q361" s="38" t="n">
        <x:v>4</x:v>
      </x:c>
      <x:c r="R361" s="38" t="n">
        <x:v>4</x:v>
      </x:c>
      <x:c r="S361" s="38" t="str">
        <x:v>P1</x:v>
      </x:c>
      <x:c r="T361" s="38" t="n">
        <x:v>9</x:v>
      </x:c>
      <x:c r="U361" s="39" t="str">
        <x:v>Wave 2 高價值套件</x:v>
      </x:c>
    </x:row>
    <x:row r="362" ht="86" customHeight="1">
      <x:c r="A362" s="36" t="str">
        <x:v>JV-358</x:v>
      </x:c>
      <x:c r="B362" s="37" t="str">
        <x:v>再出口規則計算器</x:v>
      </x:c>
      <x:c r="C362" s="37" t="str">
        <x:v>國際貿易</x:v>
      </x:c>
      <x:c r="D362" s="37" t="str">
        <x:v>出口管制</x:v>
      </x:c>
      <x:c r="E362" s="37" t="str">
        <x:v>國貿、關務、供應鏈、法遵、財務</x:v>
      </x:c>
      <x:c r="F362" s="37" t="str">
        <x:v>國貿主管、報關人員、業務、供應鏈規劃師</x:v>
      </x:c>
      <x:c r="G362" s="37" t="str">
        <x:v>現行作法對「分析原產技術、含量與交易路徑義務」多靠人工彙整、個人經驗或事後處理，難以一致追蹤，造成決策延遲與重工。</x:v>
      </x:c>
      <x:c r="H362" s="37" t="str">
        <x:v>資料／事件接入；分析原產技術、含量與交易路徑義務；證據與信心呈現；例外分流與人工覆核；控制域外風險成效追蹤；完整稽核軌跡</x:v>
      </x:c>
      <x:c r="I362" s="37" t="str">
        <x:v>跨文件／跨系統比對；圖譜推理；差異與缺口生成；專門模型焦點：分析原產技術、含量與交易路徑義務</x:v>
      </x:c>
      <x:c r="J362" s="37" t="str">
        <x:v>以人機協作模式先產生草案與證據包，接受修改後執行核准步驟並建立完整稽核軌跡</x:v>
      </x:c>
      <x:c r="K362" s="37" t="str">
        <x:v>L3 可執行／關鍵核准</x:v>
      </x:c>
      <x:c r="L362" s="37" t="str">
        <x:v>商品規格、BOM、交易方、產地、訂單、報關、物流、關稅與匯率</x:v>
      </x:c>
      <x:c r="M362" s="37" t="str">
        <x:v>ERP、TMS、報關系統、PLM、CRM、銀行、制裁資料源</x:v>
      </x:c>
      <x:c r="N362" s="37" t="str">
        <x:v>出口企業需在接單前正確判斷分類、管制、產地與落地成本。Demo：匯入一組去識別資料，觸發「分析原產技術、含量與交易路徑義務」，由系統提出證據、建議與下一步；使用者核准後回寫任務，最後呈現「控制域外風險」前後差異。</x:v>
      </x:c>
      <x:c r="O362" s="37" t="str">
        <x:v>低</x:v>
      </x:c>
      <x:c r="P362" s="37" t="str">
        <x:v>鄰近既有能力：原有物流/進出口可能追蹤單據；本群聚焦分類推理、管制判斷與貿易成本最佳化。本 App 的獨立邊界是「分析原產技術、含量與交易路徑義務」，主要產出為「控制域外風險」，不是一般登錄、查詢或看板。</x:v>
      </x:c>
      <x:c r="Q362" s="38" t="n">
        <x:v>4</x:v>
      </x:c>
      <x:c r="R362" s="38" t="n">
        <x:v>4</x:v>
      </x:c>
      <x:c r="S362" s="38" t="str">
        <x:v>P1</x:v>
      </x:c>
      <x:c r="T362" s="38" t="n">
        <x:v>9</x:v>
      </x:c>
      <x:c r="U362" s="39" t="str">
        <x:v>Wave 2 高價值套件</x:v>
      </x:c>
    </x:row>
    <x:row r="363" ht="86" customHeight="1">
      <x:c r="A363" s="36" t="str">
        <x:v>JV-359</x:v>
      </x:c>
      <x:c r="B363" s="37" t="str">
        <x:v>許可證條件守門員</x:v>
      </x:c>
      <x:c r="C363" s="37" t="str">
        <x:v>國際貿易</x:v>
      </x:c>
      <x:c r="D363" s="37" t="str">
        <x:v>出口管制</x:v>
      </x:c>
      <x:c r="E363" s="37" t="str">
        <x:v>國貿、關務、供應鏈、法遵、財務</x:v>
      </x:c>
      <x:c r="F363" s="37" t="str">
        <x:v>國貿主管、報關人員、業務、供應鏈規劃師</x:v>
      </x:c>
      <x:c r="G363" s="37" t="str">
        <x:v>現行作法對「出貨前核對數量、地點、用途與效期」多靠人工彙整、個人經驗或事後處理，難以一致追蹤，造成決策延遲與重工。</x:v>
      </x:c>
      <x:c r="H363" s="37" t="str">
        <x:v>資料／事件接入；出貨前核對數量、地點、用途與效期；證據與信心呈現；例外分流與人工覆核；避免違反許可成效追蹤；完整稽核軌跡</x:v>
      </x:c>
      <x:c r="I363" s="37" t="str">
        <x:v>異常偵測；因果線索分析；可解釋的建議排序；專門模型焦點：出貨前核對數量、地點、用途與效期</x:v>
      </x:c>
      <x:c r="J363" s="37" t="str">
        <x:v>依目標自主規劃步驟、呼叫核准工具、遇到例外改走人工佇列，完成後驗證結果並回報</x:v>
      </x:c>
      <x:c r="K363" s="37" t="str">
        <x:v>L3 可執行／關鍵核准</x:v>
      </x:c>
      <x:c r="L363" s="37" t="str">
        <x:v>商品規格、BOM、交易方、產地、訂單、報關、物流、關稅與匯率</x:v>
      </x:c>
      <x:c r="M363" s="37" t="str">
        <x:v>ERP、TMS、報關系統、PLM、CRM、銀行、制裁資料源</x:v>
      </x:c>
      <x:c r="N363" s="37" t="str">
        <x:v>出口企業需在接單前正確判斷分類、管制、產地與落地成本。Demo：匯入一組去識別資料，觸發「出貨前核對數量、地點、用途與效期」，由系統提出證據、建議與下一步；使用者核准後回寫任務，最後呈現「避免違反許可」前後差異。</x:v>
      </x:c>
      <x:c r="O363" s="37" t="str">
        <x:v>低</x:v>
      </x:c>
      <x:c r="P363" s="37" t="str">
        <x:v>鄰近既有能力：原有物流/進出口可能追蹤單據；本群聚焦分類推理、管制判斷與貿易成本最佳化。本 App 的獨立邊界是「出貨前核對數量、地點、用途與效期」，主要產出為「避免違反許可」，不是一般登錄、查詢或看板。</x:v>
      </x:c>
      <x:c r="Q363" s="38" t="n">
        <x:v>4</x:v>
      </x:c>
      <x:c r="R363" s="38" t="n">
        <x:v>4</x:v>
      </x:c>
      <x:c r="S363" s="38" t="str">
        <x:v>P1</x:v>
      </x:c>
      <x:c r="T363" s="38" t="n">
        <x:v>9</x:v>
      </x:c>
      <x:c r="U363" s="39" t="str">
        <x:v>Wave 2 高價值套件</x:v>
      </x:c>
    </x:row>
    <x:row r="364" ht="86" customHeight="1">
      <x:c r="A364" s="36" t="str">
        <x:v>JV-360</x:v>
      </x:c>
      <x:c r="B364" s="37" t="str">
        <x:v>技術資料跨境傳輸檢查器</x:v>
      </x:c>
      <x:c r="C364" s="37" t="str">
        <x:v>國際貿易</x:v>
      </x:c>
      <x:c r="D364" s="37" t="str">
        <x:v>出口管制</x:v>
      </x:c>
      <x:c r="E364" s="37" t="str">
        <x:v>國貿、關務、供應鏈、法遵、財務</x:v>
      </x:c>
      <x:c r="F364" s="37" t="str">
        <x:v>國貿主管、報關人員、業務、供應鏈規劃師</x:v>
      </x:c>
      <x:c r="G364" s="37" t="str">
        <x:v>現行作法對「在分享圖紙或原始碼前判斷管制義務」多靠人工彙整、個人經驗或事後處理，難以一致追蹤，造成決策延遲與重工。</x:v>
      </x:c>
      <x:c r="H364" s="37" t="str">
        <x:v>資料／事件接入；在分享圖紙或原始碼前判斷管制義務；證據與信心呈現；例外分流與人工覆核；防止無形出口違規成效追蹤；完整稽核軌跡</x:v>
      </x:c>
      <x:c r="I364" s="37" t="str">
        <x:v>RAG 檢索與來源引用；規則＋模型混合判斷；矛盾檢查；專門模型焦點：在分享圖紙或原始碼前判斷管制義務</x:v>
      </x:c>
      <x:c r="J364" s="37" t="str">
        <x:v>與多個專業 Agent 協作拆解任務，保留交接證據、逾時升級並在失敗時安全回滾</x:v>
      </x:c>
      <x:c r="K364" s="37" t="str">
        <x:v>L2 建議／需核准</x:v>
      </x:c>
      <x:c r="L364" s="37" t="str">
        <x:v>商品規格、BOM、交易方、產地、訂單、報關、物流、關稅與匯率</x:v>
      </x:c>
      <x:c r="M364" s="37" t="str">
        <x:v>ERP、TMS、報關系統、PLM、CRM、銀行、制裁資料源</x:v>
      </x:c>
      <x:c r="N364" s="37" t="str">
        <x:v>出口企業需在接單前正確判斷分類、管制、產地與落地成本。Demo：匯入一組去識別資料，觸發「在分享圖紙或原始碼前判斷管制義務」，由系統提出證據、建議與下一步；使用者核准後回寫任務，最後呈現「防止無形出口違規」前後差異。</x:v>
      </x:c>
      <x:c r="O364" s="37" t="str">
        <x:v>中低</x:v>
      </x:c>
      <x:c r="P364" s="37" t="str">
        <x:v>鄰近既有能力：原有物流/進出口可能追蹤單據；本群聚焦分類推理、管制判斷與貿易成本最佳化。本 App 的獨立邊界是「在分享圖紙或原始碼前判斷管制義務」，主要產出為「防止無形出口違規」，不是一般登錄、查詢或看板。</x:v>
      </x:c>
      <x:c r="Q364" s="38" t="n">
        <x:v>4</x:v>
      </x:c>
      <x:c r="R364" s="38" t="n">
        <x:v>5</x:v>
      </x:c>
      <x:c r="S364" s="38" t="str">
        <x:v>P1</x:v>
      </x:c>
      <x:c r="T364" s="38" t="n">
        <x:v>11</x:v>
      </x:c>
      <x:c r="U364" s="39" t="str">
        <x:v>Wave 2 高價值套件</x:v>
      </x:c>
    </x:row>
    <x:row r="365" ht="86" customHeight="1">
      <x:c r="A365" s="36" t="str">
        <x:v>JV-361</x:v>
      </x:c>
      <x:c r="B365" s="37" t="str">
        <x:v>國際訂單落地成本模擬器</x:v>
      </x:c>
      <x:c r="C365" s="37" t="str">
        <x:v>國際貿易</x:v>
      </x:c>
      <x:c r="D365" s="37" t="str">
        <x:v>落地成本</x:v>
      </x:c>
      <x:c r="E365" s="37" t="str">
        <x:v>國貿、關務、供應鏈、法遵、財務</x:v>
      </x:c>
      <x:c r="F365" s="37" t="str">
        <x:v>國貿主管、報關人員、業務、供應鏈規劃師</x:v>
      </x:c>
      <x:c r="G365" s="37" t="str">
        <x:v>現行作法對「整合貨價、關稅、運費、保險與稅費」多靠人工彙整、個人經驗或事後處理，難以一致追蹤，造成決策延遲與重工。</x:v>
      </x:c>
      <x:c r="H365" s="37" t="str">
        <x:v>資料／事件接入；整合貨價、關稅、運費、保險與稅費；證據與信心呈現；例外分流與人工覆核；支持報價成效追蹤；完整稽核軌跡</x:v>
      </x:c>
      <x:c r="I365" s="37" t="str">
        <x:v>語意分類與實體抽取；風險／信心評分；具證據的生成與摘要；專門模型焦點：整合貨價、關稅、運費、保險與稅費</x:v>
      </x:c>
      <x:c r="J365" s="37" t="str">
        <x:v>持續監測事件，達門檻後建立案件、蒐集證據、指派責任並追蹤結案；高風險動作需人工核准</x:v>
      </x:c>
      <x:c r="K365" s="37" t="str">
        <x:v>L3 可執行／關鍵核准</x:v>
      </x:c>
      <x:c r="L365" s="37" t="str">
        <x:v>商品規格、BOM、交易方、產地、訂單、報關、物流、關稅與匯率</x:v>
      </x:c>
      <x:c r="M365" s="37" t="str">
        <x:v>ERP、TMS、報關系統、PLM、CRM、銀行、制裁資料源</x:v>
      </x:c>
      <x:c r="N365" s="37" t="str">
        <x:v>出口企業需在接單前正確判斷分類、管制、產地與落地成本。Demo：匯入一組去識別資料，觸發「整合貨價、關稅、運費、保險與稅費」，由系統提出證據、建議與下一步；使用者核准後回寫任務，最後呈現「支持報價」前後差異。</x:v>
      </x:c>
      <x:c r="O365" s="37" t="str">
        <x:v>中低</x:v>
      </x:c>
      <x:c r="P365" s="37" t="str">
        <x:v>鄰近既有能力：原有物流/進出口可能追蹤單據；本群聚焦分類推理、管制判斷與貿易成本最佳化。本 App 的獨立邊界是「整合貨價、關稅、運費、保險與稅費」，主要產出為「支持報價」，不是一般登錄、查詢或看板。</x:v>
      </x:c>
      <x:c r="Q365" s="38" t="n">
        <x:v>4</x:v>
      </x:c>
      <x:c r="R365" s="38" t="n">
        <x:v>3</x:v>
      </x:c>
      <x:c r="S365" s="38" t="str">
        <x:v>P1</x:v>
      </x:c>
      <x:c r="T365" s="38" t="n">
        <x:v>7</x:v>
      </x:c>
      <x:c r="U365" s="39" t="str">
        <x:v>Wave 2 高價值套件</x:v>
      </x:c>
    </x:row>
    <x:row r="366" ht="86" customHeight="1">
      <x:c r="A366" s="36" t="str">
        <x:v>JV-362</x:v>
      </x:c>
      <x:c r="B366" s="37" t="str">
        <x:v>關稅變動毛利衝擊雷達</x:v>
      </x:c>
      <x:c r="C366" s="37" t="str">
        <x:v>國際貿易</x:v>
      </x:c>
      <x:c r="D366" s="37" t="str">
        <x:v>落地成本</x:v>
      </x:c>
      <x:c r="E366" s="37" t="str">
        <x:v>國貿、關務、供應鏈、法遵、財務</x:v>
      </x:c>
      <x:c r="F366" s="37" t="str">
        <x:v>國貿主管、報關人員、業務、供應鏈規劃師</x:v>
      </x:c>
      <x:c r="G366" s="37" t="str">
        <x:v>現行作法對「監測稅率並映射未交訂單與客戶」多靠人工彙整、個人經驗或事後處理，難以一致追蹤，造成決策延遲與重工。</x:v>
      </x:c>
      <x:c r="H366" s="37" t="str">
        <x:v>資料／事件接入；監測稅率並映射未交訂單與客戶；證據與信心呈現；例外分流與人工覆核；及早調價成效追蹤；完整稽核軌跡</x:v>
      </x:c>
      <x:c r="I366" s="37" t="str">
        <x:v>預測與情境模擬；多目標最佳化；不確定性呈現；專門模型焦點：監測稅率並映射未交訂單與客戶</x:v>
      </x:c>
      <x:c r="J366" s="37" t="str">
        <x:v>定期掃描資料與外部訊號，提出優先序與建議；經核准後同步任務與更新來源系統</x:v>
      </x:c>
      <x:c r="K366" s="37" t="str">
        <x:v>L3 可執行／關鍵核准</x:v>
      </x:c>
      <x:c r="L366" s="37" t="str">
        <x:v>商品規格、BOM、交易方、產地、訂單、報關、物流、關稅與匯率</x:v>
      </x:c>
      <x:c r="M366" s="37" t="str">
        <x:v>ERP、TMS、報關系統、PLM、CRM、銀行、制裁資料源</x:v>
      </x:c>
      <x:c r="N366" s="37" t="str">
        <x:v>出口企業需在接單前正確判斷分類、管制、產地與落地成本。Demo：匯入一組去識別資料，觸發「監測稅率並映射未交訂單與客戶」，由系統提出證據、建議與下一步；使用者核准後回寫任務，最後呈現「及早調價」前後差異。</x:v>
      </x:c>
      <x:c r="O366" s="37" t="str">
        <x:v>低</x:v>
      </x:c>
      <x:c r="P366" s="37" t="str">
        <x:v>鄰近既有能力：原有物流/進出口可能追蹤單據；本群聚焦分類推理、管制判斷與貿易成本最佳化。本 App 的獨立邊界是「監測稅率並映射未交訂單與客戶」，主要產出為「及早調價」，不是一般登錄、查詢或看板。</x:v>
      </x:c>
      <x:c r="Q366" s="38" t="n">
        <x:v>4</x:v>
      </x:c>
      <x:c r="R366" s="38" t="n">
        <x:v>4</x:v>
      </x:c>
      <x:c r="S366" s="38" t="str">
        <x:v>P1</x:v>
      </x:c>
      <x:c r="T366" s="38" t="n">
        <x:v>9</x:v>
      </x:c>
      <x:c r="U366" s="39" t="str">
        <x:v>Wave 2 高價值套件</x:v>
      </x:c>
    </x:row>
    <x:row r="367" ht="86" customHeight="1">
      <x:c r="A367" s="36" t="str">
        <x:v>JV-363</x:v>
      </x:c>
      <x:c r="B367" s="37" t="str">
        <x:v>保稅方案適配器</x:v>
      </x:c>
      <x:c r="C367" s="37" t="str">
        <x:v>國際貿易</x:v>
      </x:c>
      <x:c r="D367" s="37" t="str">
        <x:v>落地成本</x:v>
      </x:c>
      <x:c r="E367" s="37" t="str">
        <x:v>國貿、關務、供應鏈、法遵、財務</x:v>
      </x:c>
      <x:c r="F367" s="37" t="str">
        <x:v>國貿主管、報關人員、業務、供應鏈規劃師</x:v>
      </x:c>
      <x:c r="G367" s="37" t="str">
        <x:v>現行作法對「比較保稅倉、加工區與退稅方案效益」多靠人工彙整、個人經驗或事後處理，難以一致追蹤，造成決策延遲與重工。</x:v>
      </x:c>
      <x:c r="H367" s="37" t="str">
        <x:v>資料／事件接入；比較保稅倉、加工區與退稅方案效益；證據與信心呈現；例外分流與人工覆核；降低現金占用成效追蹤；完整稽核軌跡</x:v>
      </x:c>
      <x:c r="I367" s="37" t="str">
        <x:v>跨文件／跨系統比對；圖譜推理；差異與缺口生成；專門模型焦點：比較保稅倉、加工區與退稅方案效益</x:v>
      </x:c>
      <x:c r="J367" s="37" t="str">
        <x:v>以人機協作模式先產生草案與證據包，接受修改後執行核准步驟並建立完整稽核軌跡</x:v>
      </x:c>
      <x:c r="K367" s="37" t="str">
        <x:v>L3 可執行／關鍵核准</x:v>
      </x:c>
      <x:c r="L367" s="37" t="str">
        <x:v>商品規格、BOM、交易方、產地、訂單、報關、物流、關稅與匯率</x:v>
      </x:c>
      <x:c r="M367" s="37" t="str">
        <x:v>ERP、TMS、報關系統、PLM、CRM、銀行、制裁資料源</x:v>
      </x:c>
      <x:c r="N367" s="37" t="str">
        <x:v>出口企業需在接單前正確判斷分類、管制、產地與落地成本。Demo：匯入一組去識別資料，觸發「比較保稅倉、加工區與退稅方案效益」，由系統提出證據、建議與下一步；使用者核准後回寫任務，最後呈現「降低現金占用」前後差異。</x:v>
      </x:c>
      <x:c r="O367" s="37" t="str">
        <x:v>低</x:v>
      </x:c>
      <x:c r="P367" s="37" t="str">
        <x:v>鄰近既有能力：原有物流/進出口可能追蹤單據；本群聚焦分類推理、管制判斷與貿易成本最佳化。本 App 的獨立邊界是「比較保稅倉、加工區與退稅方案效益」，主要產出為「降低現金占用」，不是一般登錄、查詢或看板。</x:v>
      </x:c>
      <x:c r="Q367" s="38" t="n">
        <x:v>4</x:v>
      </x:c>
      <x:c r="R367" s="38" t="n">
        <x:v>4</x:v>
      </x:c>
      <x:c r="S367" s="38" t="str">
        <x:v>P1</x:v>
      </x:c>
      <x:c r="T367" s="38" t="n">
        <x:v>9</x:v>
      </x:c>
      <x:c r="U367" s="39" t="str">
        <x:v>Wave 2 高價值套件</x:v>
      </x:c>
    </x:row>
    <x:row r="368" ht="86" customHeight="1">
      <x:c r="A368" s="36" t="str">
        <x:v>JV-364</x:v>
      </x:c>
      <x:c r="B368" s="37" t="str">
        <x:v>貿易路徑最佳化器</x:v>
      </x:c>
      <x:c r="C368" s="37" t="str">
        <x:v>國際貿易</x:v>
      </x:c>
      <x:c r="D368" s="37" t="str">
        <x:v>落地成本</x:v>
      </x:c>
      <x:c r="E368" s="37" t="str">
        <x:v>國貿、關務、供應鏈、法遵、財務</x:v>
      </x:c>
      <x:c r="F368" s="37" t="str">
        <x:v>國貿主管、報關人員、業務、供應鏈規劃師</x:v>
      </x:c>
      <x:c r="G368" s="37" t="str">
        <x:v>現行作法對「在時間、成本、風險與碳排間選路徑」多靠人工彙整、個人經驗或事後處理，難以一致追蹤，造成決策延遲與重工。</x:v>
      </x:c>
      <x:c r="H368" s="37" t="str">
        <x:v>資料／事件接入；在時間、成本、風險與碳排間選路徑；證據與信心呈現；例外分流與人工覆核；提升韌性成效追蹤；完整稽核軌跡</x:v>
      </x:c>
      <x:c r="I368" s="37" t="str">
        <x:v>異常偵測；因果線索分析；可解釋的建議排序；專門模型焦點：在時間、成本、風險與碳排間選路徑</x:v>
      </x:c>
      <x:c r="J368" s="37" t="str">
        <x:v>依目標自主規劃步驟、呼叫核准工具、遇到例外改走人工佇列，完成後驗證結果並回報</x:v>
      </x:c>
      <x:c r="K368" s="37" t="str">
        <x:v>L3 可執行／關鍵核准</x:v>
      </x:c>
      <x:c r="L368" s="37" t="str">
        <x:v>商品規格、BOM、交易方、產地、訂單、報關、物流、關稅與匯率</x:v>
      </x:c>
      <x:c r="M368" s="37" t="str">
        <x:v>ERP、TMS、報關系統、PLM、CRM、銀行、制裁資料源</x:v>
      </x:c>
      <x:c r="N368" s="37" t="str">
        <x:v>出口企業需在接單前正確判斷分類、管制、產地與落地成本。Demo：匯入一組去識別資料，觸發「在時間、成本、風險與碳排間選路徑」，由系統提出證據、建議與下一步；使用者核准後回寫任務，最後呈現「提升韌性」前後差異。</x:v>
      </x:c>
      <x:c r="O368" s="37" t="str">
        <x:v>低</x:v>
      </x:c>
      <x:c r="P368" s="37" t="str">
        <x:v>鄰近既有能力：原有物流/進出口可能追蹤單據；本群聚焦分類推理、管制判斷與貿易成本最佳化。本 App 的獨立邊界是「在時間、成本、風險與碳排間選路徑」，主要產出為「提升韌性」，不是一般登錄、查詢或看板。</x:v>
      </x:c>
      <x:c r="Q368" s="38" t="n">
        <x:v>4</x:v>
      </x:c>
      <x:c r="R368" s="38" t="n">
        <x:v>4</x:v>
      </x:c>
      <x:c r="S368" s="38" t="str">
        <x:v>P1</x:v>
      </x:c>
      <x:c r="T368" s="38" t="n">
        <x:v>9</x:v>
      </x:c>
      <x:c r="U368" s="39" t="str">
        <x:v>Wave 2 高價值套件</x:v>
      </x:c>
    </x:row>
    <x:row r="369" ht="86" customHeight="1">
      <x:c r="A369" s="36" t="str">
        <x:v>JV-365</x:v>
      </x:c>
      <x:c r="B369" s="37" t="str">
        <x:v>報關價值一致性檢查器</x:v>
      </x:c>
      <x:c r="C369" s="37" t="str">
        <x:v>國際貿易</x:v>
      </x:c>
      <x:c r="D369" s="37" t="str">
        <x:v>落地成本</x:v>
      </x:c>
      <x:c r="E369" s="37" t="str">
        <x:v>國貿、關務、供應鏈、法遵、財務</x:v>
      </x:c>
      <x:c r="F369" s="37" t="str">
        <x:v>國貿主管、報關人員、業務、供應鏈規劃師</x:v>
      </x:c>
      <x:c r="G369" s="37" t="str">
        <x:v>現行作法對「比對發票、移轉訂價、協助與權利金」多靠人工彙整、個人經驗或事後處理，難以一致追蹤，造成決策延遲與重工。</x:v>
      </x:c>
      <x:c r="H369" s="37" t="str">
        <x:v>資料／事件接入；比對發票、移轉訂價、協助與權利金；證據與信心呈現；例外分流與人工覆核；降低估價風險成效追蹤；完整稽核軌跡</x:v>
      </x:c>
      <x:c r="I369" s="37" t="str">
        <x:v>RAG 檢索與來源引用；規則＋模型混合判斷；矛盾檢查；專門模型焦點：比對發票、移轉訂價、協助與權利金</x:v>
      </x:c>
      <x:c r="J369" s="37" t="str">
        <x:v>與多個專業 Agent 協作拆解任務，保留交接證據、逾時升級並在失敗時安全回滾</x:v>
      </x:c>
      <x:c r="K369" s="37" t="str">
        <x:v>L2 建議／需核准</x:v>
      </x:c>
      <x:c r="L369" s="37" t="str">
        <x:v>商品規格、BOM、交易方、產地、訂單、報關、物流、關稅與匯率</x:v>
      </x:c>
      <x:c r="M369" s="37" t="str">
        <x:v>ERP、TMS、報關系統、PLM、CRM、銀行、制裁資料源</x:v>
      </x:c>
      <x:c r="N369" s="37" t="str">
        <x:v>出口企業需在接單前正確判斷分類、管制、產地與落地成本。Demo：匯入一組去識別資料，觸發「比對發票、移轉訂價、協助與權利金」，由系統提出證據、建議與下一步；使用者核准後回寫任務，最後呈現「降低估價風險」前後差異。</x:v>
      </x:c>
      <x:c r="O369" s="37" t="str">
        <x:v>中低</x:v>
      </x:c>
      <x:c r="P369" s="37" t="str">
        <x:v>鄰近既有能力：原有物流/進出口可能追蹤單據；本群聚焦分類推理、管制判斷與貿易成本最佳化。本 App 的獨立邊界是「比對發票、移轉訂價、協助與權利金」，主要產出為「降低估價風險」，不是一般登錄、查詢或看板。</x:v>
      </x:c>
      <x:c r="Q369" s="38" t="n">
        <x:v>4</x:v>
      </x:c>
      <x:c r="R369" s="38" t="n">
        <x:v>5</x:v>
      </x:c>
      <x:c r="S369" s="38" t="str">
        <x:v>P1</x:v>
      </x:c>
      <x:c r="T369" s="38" t="n">
        <x:v>11</x:v>
      </x:c>
      <x:c r="U369" s="39" t="str">
        <x:v>Wave 2 高價值套件</x:v>
      </x:c>
    </x:row>
    <x:row r="370" ht="86" customHeight="1">
      <x:c r="A370" s="36" t="str">
        <x:v>JV-366</x:v>
      </x:c>
      <x:c r="B370" s="37" t="str">
        <x:v>跨單據一致性稽核員</x:v>
      </x:c>
      <x:c r="C370" s="37" t="str">
        <x:v>國際貿易</x:v>
      </x:c>
      <x:c r="D370" s="37" t="str">
        <x:v>文件與異常</x:v>
      </x:c>
      <x:c r="E370" s="37" t="str">
        <x:v>國貿、關務、供應鏈、法遵、財務</x:v>
      </x:c>
      <x:c r="F370" s="37" t="str">
        <x:v>國貿主管、報關人員、業務、供應鏈規劃師</x:v>
      </x:c>
      <x:c r="G370" s="37" t="str">
        <x:v>現行作法對「比對訂單、發票、裝箱、提單與報單」多靠人工彙整、個人經驗或事後處理，難以一致追蹤，造成決策延遲與重工。</x:v>
      </x:c>
      <x:c r="H370" s="37" t="str">
        <x:v>資料／事件接入；比對訂單、發票、裝箱、提單與報單；證據與信心呈現；例外分流與人工覆核；減少退件成效追蹤；完整稽核軌跡</x:v>
      </x:c>
      <x:c r="I370" s="37" t="str">
        <x:v>語意分類與實體抽取；風險／信心評分；具證據的生成與摘要；專門模型焦點：比對訂單、發票、裝箱、提單與報單</x:v>
      </x:c>
      <x:c r="J370" s="37" t="str">
        <x:v>持續監測事件，達門檻後建立案件、蒐集證據、指派責任並追蹤結案；高風險動作需人工核准</x:v>
      </x:c>
      <x:c r="K370" s="37" t="str">
        <x:v>L3 可執行／關鍵核准</x:v>
      </x:c>
      <x:c r="L370" s="37" t="str">
        <x:v>商品規格、BOM、交易方、產地、訂單、報關、物流、關稅與匯率</x:v>
      </x:c>
      <x:c r="M370" s="37" t="str">
        <x:v>ERP、TMS、報關系統、PLM、CRM、銀行、制裁資料源</x:v>
      </x:c>
      <x:c r="N370" s="37" t="str">
        <x:v>出口企業需在接單前正確判斷分類、管制、產地與落地成本。Demo：匯入一組去識別資料，觸發「比對訂單、發票、裝箱、提單與報單」，由系統提出證據、建議與下一步；使用者核准後回寫任務，最後呈現「減少退件」前後差異。</x:v>
      </x:c>
      <x:c r="O370" s="37" t="str">
        <x:v>中低</x:v>
      </x:c>
      <x:c r="P370" s="37" t="str">
        <x:v>鄰近既有能力：原有物流/進出口可能追蹤單據；本群聚焦分類推理、管制判斷與貿易成本最佳化。本 App 的獨立邊界是「比對訂單、發票、裝箱、提單與報單」，主要產出為「減少退件」，不是一般登錄、查詢或看板。</x:v>
      </x:c>
      <x:c r="Q370" s="38" t="n">
        <x:v>3</x:v>
      </x:c>
      <x:c r="R370" s="38" t="n">
        <x:v>3</x:v>
      </x:c>
      <x:c r="S370" s="38" t="str">
        <x:v>P2</x:v>
      </x:c>
      <x:c r="T370" s="38" t="n">
        <x:v>7</x:v>
      </x:c>
      <x:c r="U370" s="39" t="str">
        <x:v>Wave 3 垂直擴充</x:v>
      </x:c>
    </x:row>
    <x:row r="371" ht="86" customHeight="1">
      <x:c r="A371" s="36" t="str">
        <x:v>JV-367</x:v>
      </x:c>
      <x:c r="B371" s="37" t="str">
        <x:v>信用狀條款落差檢查器</x:v>
      </x:c>
      <x:c r="C371" s="37" t="str">
        <x:v>國際貿易</x:v>
      </x:c>
      <x:c r="D371" s="37" t="str">
        <x:v>文件與異常</x:v>
      </x:c>
      <x:c r="E371" s="37" t="str">
        <x:v>國貿、關務、供應鏈、法遵、財務</x:v>
      </x:c>
      <x:c r="F371" s="37" t="str">
        <x:v>國貿主管、報關人員、業務、供應鏈規劃師</x:v>
      </x:c>
      <x:c r="G371" s="37" t="str">
        <x:v>現行作法對「逐項比對單據與 L/C 要求」多靠人工彙整、個人經驗或事後處理，難以一致追蹤，造成決策延遲與重工。</x:v>
      </x:c>
      <x:c r="H371" s="37" t="str">
        <x:v>資料／事件接入；逐項比對單據與 L/C 要求；證據與信心呈現；例外分流與人工覆核；降低不符點成效追蹤；完整稽核軌跡</x:v>
      </x:c>
      <x:c r="I371" s="37" t="str">
        <x:v>預測與情境模擬；多目標最佳化；不確定性呈現；專門模型焦點：逐項比對單據與 L/C 要求</x:v>
      </x:c>
      <x:c r="J371" s="37" t="str">
        <x:v>定期掃描資料與外部訊號，提出優先序與建議；經核准後同步任務與更新來源系統</x:v>
      </x:c>
      <x:c r="K371" s="37" t="str">
        <x:v>L3 可執行／關鍵核准</x:v>
      </x:c>
      <x:c r="L371" s="37" t="str">
        <x:v>商品規格、BOM、交易方、產地、訂單、報關、物流、關稅與匯率</x:v>
      </x:c>
      <x:c r="M371" s="37" t="str">
        <x:v>ERP、TMS、報關系統、PLM、CRM、銀行、制裁資料源</x:v>
      </x:c>
      <x:c r="N371" s="37" t="str">
        <x:v>出口企業需在接單前正確判斷分類、管制、產地與落地成本。Demo：匯入一組去識別資料，觸發「逐項比對單據與 L/C 要求」，由系統提出證據、建議與下一步；使用者核准後回寫任務，最後呈現「降低不符點」前後差異。</x:v>
      </x:c>
      <x:c r="O371" s="37" t="str">
        <x:v>低</x:v>
      </x:c>
      <x:c r="P371" s="37" t="str">
        <x:v>鄰近既有能力：原有物流/進出口可能追蹤單據；本群聚焦分類推理、管制判斷與貿易成本最佳化。本 App 的獨立邊界是「逐項比對單據與 L/C 要求」，主要產出為「降低不符點」，不是一般登錄、查詢或看板。</x:v>
      </x:c>
      <x:c r="Q371" s="38" t="n">
        <x:v>4</x:v>
      </x:c>
      <x:c r="R371" s="38" t="n">
        <x:v>4</x:v>
      </x:c>
      <x:c r="S371" s="38" t="str">
        <x:v>P1</x:v>
      </x:c>
      <x:c r="T371" s="38" t="n">
        <x:v>9</x:v>
      </x:c>
      <x:c r="U371" s="39" t="str">
        <x:v>Wave 2 高價值套件</x:v>
      </x:c>
    </x:row>
    <x:row r="372" ht="86" customHeight="1">
      <x:c r="A372" s="36" t="str">
        <x:v>JV-368</x:v>
      </x:c>
      <x:c r="B372" s="37" t="str">
        <x:v>海關查驗應對 Agent</x:v>
      </x:c>
      <x:c r="C372" s="37" t="str">
        <x:v>國際貿易</x:v>
      </x:c>
      <x:c r="D372" s="37" t="str">
        <x:v>文件與異常</x:v>
      </x:c>
      <x:c r="E372" s="37" t="str">
        <x:v>國貿、關務、供應鏈、法遵、財務</x:v>
      </x:c>
      <x:c r="F372" s="37" t="str">
        <x:v>國貿主管、報關人員、業務、供應鏈規劃師</x:v>
      </x:c>
      <x:c r="G372" s="37" t="str">
        <x:v>現行作法對「依查驗原因彙整文件、解釋與聯絡任務」多靠人工彙整、個人經驗或事後處理，難以一致追蹤，造成決策延遲與重工。</x:v>
      </x:c>
      <x:c r="H372" s="37" t="str">
        <x:v>資料／事件接入；依查驗原因彙整文件、解釋與聯絡任務；證據與信心呈現；例外分流與人工覆核；縮短滯港成效追蹤；完整稽核軌跡</x:v>
      </x:c>
      <x:c r="I372" s="37" t="str">
        <x:v>跨文件／跨系統比對；圖譜推理；差異與缺口生成；專門模型焦點：依查驗原因彙整文件、解釋與聯絡任務</x:v>
      </x:c>
      <x:c r="J372" s="37" t="str">
        <x:v>以人機協作模式先產生草案與證據包，接受修改後執行核准步驟並建立完整稽核軌跡</x:v>
      </x:c>
      <x:c r="K372" s="37" t="str">
        <x:v>L3 可執行／關鍵核准</x:v>
      </x:c>
      <x:c r="L372" s="37" t="str">
        <x:v>商品規格、BOM、交易方、產地、訂單、報關、物流、關稅與匯率</x:v>
      </x:c>
      <x:c r="M372" s="37" t="str">
        <x:v>ERP、TMS、報關系統、PLM、CRM、銀行、制裁資料源</x:v>
      </x:c>
      <x:c r="N372" s="37" t="str">
        <x:v>出口企業需在接單前正確判斷分類、管制、產地與落地成本。Demo：匯入一組去識別資料，觸發「依查驗原因彙整文件、解釋與聯絡任務」，由系統提出證據、建議與下一步；使用者核准後回寫任務，最後呈現「縮短滯港」前後差異。</x:v>
      </x:c>
      <x:c r="O372" s="37" t="str">
        <x:v>低</x:v>
      </x:c>
      <x:c r="P372" s="37" t="str">
        <x:v>鄰近既有能力：原有物流/進出口可能追蹤單據；本群聚焦分類推理、管制判斷與貿易成本最佳化。本 App 的獨立邊界是「依查驗原因彙整文件、解釋與聯絡任務」，主要產出為「縮短滯港」，不是一般登錄、查詢或看板。</x:v>
      </x:c>
      <x:c r="Q372" s="38" t="n">
        <x:v>4</x:v>
      </x:c>
      <x:c r="R372" s="38" t="n">
        <x:v>4</x:v>
      </x:c>
      <x:c r="S372" s="38" t="str">
        <x:v>P1</x:v>
      </x:c>
      <x:c r="T372" s="38" t="n">
        <x:v>9</x:v>
      </x:c>
      <x:c r="U372" s="39" t="str">
        <x:v>Wave 2 高價值套件</x:v>
      </x:c>
    </x:row>
    <x:row r="373" ht="86" customHeight="1">
      <x:c r="A373" s="36" t="str">
        <x:v>JV-369</x:v>
      </x:c>
      <x:c r="B373" s="37" t="str">
        <x:v>貿易文件版本追蹤器</x:v>
      </x:c>
      <x:c r="C373" s="37" t="str">
        <x:v>國際貿易</x:v>
      </x:c>
      <x:c r="D373" s="37" t="str">
        <x:v>文件與異常</x:v>
      </x:c>
      <x:c r="E373" s="37" t="str">
        <x:v>國貿、關務、供應鏈、法遵、財務</x:v>
      </x:c>
      <x:c r="F373" s="37" t="str">
        <x:v>國貿主管、報關人員、業務、供應鏈規劃師</x:v>
      </x:c>
      <x:c r="G373" s="37" t="str">
        <x:v>現行作法對「確保各方使用同一版規格與單據」多靠人工彙整、個人經驗或事後處理，難以一致追蹤，造成決策延遲與重工。</x:v>
      </x:c>
      <x:c r="H373" s="37" t="str">
        <x:v>資料／事件接入；確保各方使用同一版規格與單據；證據與信心呈現；例外分流與人工覆核；避免錯運成效追蹤；完整稽核軌跡</x:v>
      </x:c>
      <x:c r="I373" s="37" t="str">
        <x:v>異常偵測；因果線索分析；可解釋的建議排序；專門模型焦點：確保各方使用同一版規格與單據</x:v>
      </x:c>
      <x:c r="J373" s="37" t="str">
        <x:v>依目標自主規劃步驟、呼叫核准工具、遇到例外改走人工佇列，完成後驗證結果並回報</x:v>
      </x:c>
      <x:c r="K373" s="37" t="str">
        <x:v>L3 可執行／關鍵核准</x:v>
      </x:c>
      <x:c r="L373" s="37" t="str">
        <x:v>商品規格、BOM、交易方、產地、訂單、報關、物流、關稅與匯率</x:v>
      </x:c>
      <x:c r="M373" s="37" t="str">
        <x:v>ERP、TMS、報關系統、PLM、CRM、銀行、制裁資料源</x:v>
      </x:c>
      <x:c r="N373" s="37" t="str">
        <x:v>出口企業需在接單前正確判斷分類、管制、產地與落地成本。Demo：匯入一組去識別資料，觸發「確保各方使用同一版規格與單據」，由系統提出證據、建議與下一步；使用者核准後回寫任務，最後呈現「避免錯運」前後差異。</x:v>
      </x:c>
      <x:c r="O373" s="37" t="str">
        <x:v>低</x:v>
      </x:c>
      <x:c r="P373" s="37" t="str">
        <x:v>鄰近既有能力：原有物流/進出口可能追蹤單據；本群聚焦分類推理、管制判斷與貿易成本最佳化。本 App 的獨立邊界是「確保各方使用同一版規格與單據」，主要產出為「避免錯運」，不是一般登錄、查詢或看板。</x:v>
      </x:c>
      <x:c r="Q373" s="38" t="n">
        <x:v>4</x:v>
      </x:c>
      <x:c r="R373" s="38" t="n">
        <x:v>4</x:v>
      </x:c>
      <x:c r="S373" s="38" t="str">
        <x:v>P1</x:v>
      </x:c>
      <x:c r="T373" s="38" t="n">
        <x:v>9</x:v>
      </x:c>
      <x:c r="U373" s="39" t="str">
        <x:v>Wave 2 高價值套件</x:v>
      </x:c>
    </x:row>
    <x:row r="374" ht="86" customHeight="1">
      <x:c r="A374" s="36" t="str">
        <x:v>JV-370</x:v>
      </x:c>
      <x:c r="B374" s="37" t="str">
        <x:v>異常通關根因分析器</x:v>
      </x:c>
      <x:c r="C374" s="37" t="str">
        <x:v>國際貿易</x:v>
      </x:c>
      <x:c r="D374" s="37" t="str">
        <x:v>文件與異常</x:v>
      </x:c>
      <x:c r="E374" s="37" t="str">
        <x:v>國貿、關務、供應鏈、法遵、財務</x:v>
      </x:c>
      <x:c r="F374" s="37" t="str">
        <x:v>國貿主管、報關人員、業務、供應鏈規劃師</x:v>
      </x:c>
      <x:c r="G374" s="37" t="str">
        <x:v>現行作法對「聚類補件、查驗與罰款原因」多靠人工彙整、個人經驗或事後處理，難以一致追蹤，造成決策延遲與重工。</x:v>
      </x:c>
      <x:c r="H374" s="37" t="str">
        <x:v>資料／事件接入；聚類補件、查驗與罰款原因；證據與信心呈現；例外分流與人工覆核；持續改善成效追蹤；完整稽核軌跡</x:v>
      </x:c>
      <x:c r="I374" s="37" t="str">
        <x:v>RAG 檢索與來源引用；規則＋模型混合判斷；矛盾檢查；專門模型焦點：聚類補件、查驗與罰款原因</x:v>
      </x:c>
      <x:c r="J374" s="37" t="str">
        <x:v>與多個專業 Agent 協作拆解任務，保留交接證據、逾時升級並在失敗時安全回滾</x:v>
      </x:c>
      <x:c r="K374" s="37" t="str">
        <x:v>L2 建議／需核准</x:v>
      </x:c>
      <x:c r="L374" s="37" t="str">
        <x:v>商品規格、BOM、交易方、產地、訂單、報關、物流、關稅與匯率</x:v>
      </x:c>
      <x:c r="M374" s="37" t="str">
        <x:v>ERP、TMS、報關系統、PLM、CRM、銀行、制裁資料源</x:v>
      </x:c>
      <x:c r="N374" s="37" t="str">
        <x:v>出口企業需在接單前正確判斷分類、管制、產地與落地成本。Demo：匯入一組去識別資料，觸發「聚類補件、查驗與罰款原因」，由系統提出證據、建議與下一步；使用者核准後回寫任務，最後呈現「持續改善」前後差異。</x:v>
      </x:c>
      <x:c r="O374" s="37" t="str">
        <x:v>中低</x:v>
      </x:c>
      <x:c r="P374" s="37" t="str">
        <x:v>鄰近既有能力：原有物流/進出口可能追蹤單據；本群聚焦分類推理、管制判斷與貿易成本最佳化。本 App 的獨立邊界是「聚類補件、查驗與罰款原因」，主要產出為「持續改善」，不是一般登錄、查詢或看板。</x:v>
      </x:c>
      <x:c r="Q374" s="38" t="n">
        <x:v>4</x:v>
      </x:c>
      <x:c r="R374" s="38" t="n">
        <x:v>5</x:v>
      </x:c>
      <x:c r="S374" s="38" t="str">
        <x:v>P1</x:v>
      </x:c>
      <x:c r="T374" s="38" t="n">
        <x:v>11</x:v>
      </x:c>
      <x:c r="U374" s="39" t="str">
        <x:v>Wave 2 高價值套件</x:v>
      </x:c>
    </x:row>
    <x:row r="375" ht="86" customHeight="1">
      <x:c r="A375" s="36" t="str">
        <x:v>JV-371</x:v>
      </x:c>
      <x:c r="B375" s="37" t="str">
        <x:v>DoE 實驗設計 Copilot</x:v>
      </x:c>
      <x:c r="C375" s="37" t="str">
        <x:v>實驗室／Lab</x:v>
      </x:c>
      <x:c r="D375" s="37" t="str">
        <x:v>實驗設計</x:v>
      </x:c>
      <x:c r="E375" s="37" t="str">
        <x:v>研發、實驗室、品質、法規</x:v>
      </x:c>
      <x:c r="F375" s="37" t="str">
        <x:v>實驗室主管、研究員、技術員、品質人員</x:v>
      </x:c>
      <x:c r="G375" s="37" t="str">
        <x:v>現行作法對「依因子、限制與目標設計最省樣本實驗」多靠人工彙整、個人經驗或事後處理，難以一致追蹤，造成決策延遲與重工。</x:v>
      </x:c>
      <x:c r="H375" s="37" t="str">
        <x:v>資料／事件接入；依因子、限制與目標設計最省樣本實驗；證據與信心呈現；例外分流與人工覆核；提升資訊效率成效追蹤；完整稽核軌跡</x:v>
      </x:c>
      <x:c r="I375" s="37" t="str">
        <x:v>語意分類與實體抽取；風險／信心評分；具證據的生成與摘要；專門模型焦點：依因子、限制與目標設計最省樣本實驗</x:v>
      </x:c>
      <x:c r="J375" s="37" t="str">
        <x:v>持續監測事件，達門檻後建立案件、蒐集證據、指派責任並追蹤結案；高風險動作需人工核准</x:v>
      </x:c>
      <x:c r="K375" s="37" t="str">
        <x:v>L3 可執行／關鍵核准</x:v>
      </x:c>
      <x:c r="L375" s="37" t="str">
        <x:v>實驗計畫、樣品、儀器、原始數據、試劑、方法、環境與偏差</x:v>
      </x:c>
      <x:c r="M375" s="37" t="str">
        <x:v>LIMS、ELN、QMS、儀器軟體、ERP、PLM</x:v>
      </x:c>
      <x:c r="N375" s="37" t="str">
        <x:v>研發與檢測實驗室希望提高實驗成功率、可再現性與合規證據品質。Demo：匯入一組去識別資料，觸發「依因子、限制與目標設計最省樣本實驗」，由系統提出證據、建議與下一步；使用者核准後回寫任務，最後呈現「提升資訊效率」前後差異。</x:v>
      </x:c>
      <x:c r="O375" s="37" t="str">
        <x:v>中</x:v>
      </x:c>
      <x:c r="P375" s="37" t="str">
        <x:v>鄰近既有能力：原有 LIMS 可能管樣品與結果；本群聚焦實驗設計、再現性、科學推理與資料完整性。本 App 的獨立邊界是「依因子、限制與目標設計最省樣本實驗」，主要產出為「提升資訊效率」，不是一般登錄、查詢或看板。</x:v>
      </x:c>
      <x:c r="Q375" s="38" t="n">
        <x:v>4</x:v>
      </x:c>
      <x:c r="R375" s="38" t="n">
        <x:v>3</x:v>
      </x:c>
      <x:c r="S375" s="38" t="str">
        <x:v>P2</x:v>
      </x:c>
      <x:c r="T375" s="38" t="n">
        <x:v>7</x:v>
      </x:c>
      <x:c r="U375" s="39" t="str">
        <x:v>Wave 3 垂直擴充</x:v>
      </x:c>
    </x:row>
    <x:row r="376" ht="86" customHeight="1">
      <x:c r="A376" s="36" t="str">
        <x:v>JV-372</x:v>
      </x:c>
      <x:c r="B376" s="37" t="str">
        <x:v>實驗停止條件判斷器</x:v>
      </x:c>
      <x:c r="C376" s="37" t="str">
        <x:v>實驗室／Lab</x:v>
      </x:c>
      <x:c r="D376" s="37" t="str">
        <x:v>實驗設計</x:v>
      </x:c>
      <x:c r="E376" s="37" t="str">
        <x:v>研發、實驗室、品質、法規</x:v>
      </x:c>
      <x:c r="F376" s="37" t="str">
        <x:v>實驗室主管、研究員、技術員、品質人員</x:v>
      </x:c>
      <x:c r="G376" s="37" t="str">
        <x:v>現行作法對「依統計功效、成本與風險建議續做或停止」多靠人工彙整、個人經驗或事後處理，難以一致追蹤，造成決策延遲與重工。</x:v>
      </x:c>
      <x:c r="H376" s="37" t="str">
        <x:v>資料／事件接入；依統計功效、成本與風險建議續做或停止；證據與信心呈現；例外分流與人工覆核；避免浪費成效追蹤；完整稽核軌跡</x:v>
      </x:c>
      <x:c r="I376" s="37" t="str">
        <x:v>預測與情境模擬；多目標最佳化；不確定性呈現；專門模型焦點：依統計功效、成本與風險建議續做或停止</x:v>
      </x:c>
      <x:c r="J376" s="37" t="str">
        <x:v>定期掃描資料與外部訊號，提出優先序與建議；經核准後同步任務與更新來源系統</x:v>
      </x:c>
      <x:c r="K376" s="37" t="str">
        <x:v>L3 可執行／關鍵核准</x:v>
      </x:c>
      <x:c r="L376" s="37" t="str">
        <x:v>實驗計畫、樣品、儀器、原始數據、試劑、方法、環境與偏差</x:v>
      </x:c>
      <x:c r="M376" s="37" t="str">
        <x:v>LIMS、ELN、QMS、儀器軟體、ERP、PLM</x:v>
      </x:c>
      <x:c r="N376" s="37" t="str">
        <x:v>研發與檢測實驗室希望提高實驗成功率、可再現性與合規證據品質。Demo：匯入一組去識別資料，觸發「依統計功效、成本與風險建議續做或停止」，由系統提出證據、建議與下一步；使用者核准後回寫任務，最後呈現「避免浪費」前後差異。</x:v>
      </x:c>
      <x:c r="O376" s="37" t="str">
        <x:v>中低</x:v>
      </x:c>
      <x:c r="P376" s="37" t="str">
        <x:v>鄰近既有能力：原有 LIMS 可能管樣品與結果；本群聚焦實驗設計、再現性、科學推理與資料完整性。本 App 的獨立邊界是「依統計功效、成本與風險建議續做或停止」，主要產出為「避免浪費」，不是一般登錄、查詢或看板。</x:v>
      </x:c>
      <x:c r="Q376" s="38" t="n">
        <x:v>4</x:v>
      </x:c>
      <x:c r="R376" s="38" t="n">
        <x:v>4</x:v>
      </x:c>
      <x:c r="S376" s="38" t="str">
        <x:v>P2</x:v>
      </x:c>
      <x:c r="T376" s="38" t="n">
        <x:v>9</x:v>
      </x:c>
      <x:c r="U376" s="39" t="str">
        <x:v>Wave 3 垂直擴充</x:v>
      </x:c>
    </x:row>
    <x:row r="377" ht="86" customHeight="1">
      <x:c r="A377" s="36" t="str">
        <x:v>JV-373</x:v>
      </x:c>
      <x:c r="B377" s="37" t="str">
        <x:v>實驗序列主動學習 Agent</x:v>
      </x:c>
      <x:c r="C377" s="37" t="str">
        <x:v>實驗室／Lab</x:v>
      </x:c>
      <x:c r="D377" s="37" t="str">
        <x:v>實驗設計</x:v>
      </x:c>
      <x:c r="E377" s="37" t="str">
        <x:v>研發、實驗室、品質、法規</x:v>
      </x:c>
      <x:c r="F377" s="37" t="str">
        <x:v>實驗室主管、研究員、技術員、品質人員</x:v>
      </x:c>
      <x:c r="G377" s="37" t="str">
        <x:v>現行作法對「根據前次結果選下一組最有價值條件」多靠人工彙整、個人經驗或事後處理，難以一致追蹤，造成決策延遲與重工。</x:v>
      </x:c>
      <x:c r="H377" s="37" t="str">
        <x:v>資料／事件接入；根據前次結果選下一組最有價值條件；證據與信心呈現；例外分流與人工覆核；加速最佳化成效追蹤；完整稽核軌跡</x:v>
      </x:c>
      <x:c r="I377" s="37" t="str">
        <x:v>跨文件／跨系統比對；圖譜推理；差異與缺口生成；專門模型焦點：根據前次結果選下一組最有價值條件</x:v>
      </x:c>
      <x:c r="J377" s="37" t="str">
        <x:v>以人機協作模式先產生草案與證據包，接受修改後執行核准步驟並建立完整稽核軌跡</x:v>
      </x:c>
      <x:c r="K377" s="37" t="str">
        <x:v>L3 可執行／關鍵核准</x:v>
      </x:c>
      <x:c r="L377" s="37" t="str">
        <x:v>實驗計畫、樣品、儀器、原始數據、試劑、方法、環境與偏差</x:v>
      </x:c>
      <x:c r="M377" s="37" t="str">
        <x:v>LIMS、ELN、QMS、儀器軟體、ERP、PLM</x:v>
      </x:c>
      <x:c r="N377" s="37" t="str">
        <x:v>研發與檢測實驗室希望提高實驗成功率、可再現性與合規證據品質。Demo：匯入一組去識別資料，觸發「根據前次結果選下一組最有價值條件」，由系統提出證據、建議與下一步；使用者核准後回寫任務，最後呈現「加速最佳化」前後差異。</x:v>
      </x:c>
      <x:c r="O377" s="37" t="str">
        <x:v>中低</x:v>
      </x:c>
      <x:c r="P377" s="37" t="str">
        <x:v>鄰近既有能力：原有 LIMS 可能管樣品與結果；本群聚焦實驗設計、再現性、科學推理與資料完整性。本 App 的獨立邊界是「根據前次結果選下一組最有價值條件」，主要產出為「加速最佳化」，不是一般登錄、查詢或看板。</x:v>
      </x:c>
      <x:c r="Q377" s="38" t="n">
        <x:v>4</x:v>
      </x:c>
      <x:c r="R377" s="38" t="n">
        <x:v>4</x:v>
      </x:c>
      <x:c r="S377" s="38" t="str">
        <x:v>P2</x:v>
      </x:c>
      <x:c r="T377" s="38" t="n">
        <x:v>9</x:v>
      </x:c>
      <x:c r="U377" s="39" t="str">
        <x:v>Wave 3 垂直擴充</x:v>
      </x:c>
    </x:row>
    <x:row r="378" ht="86" customHeight="1">
      <x:c r="A378" s="36" t="str">
        <x:v>JV-374</x:v>
      </x:c>
      <x:c r="B378" s="37" t="str">
        <x:v>負結果價值分析器</x:v>
      </x:c>
      <x:c r="C378" s="37" t="str">
        <x:v>實驗室／Lab</x:v>
      </x:c>
      <x:c r="D378" s="37" t="str">
        <x:v>實驗設計</x:v>
      </x:c>
      <x:c r="E378" s="37" t="str">
        <x:v>研發、實驗室、品質、法規</x:v>
      </x:c>
      <x:c r="F378" s="37" t="str">
        <x:v>實驗室主管、研究員、技術員、品質人員</x:v>
      </x:c>
      <x:c r="G378" s="37" t="str">
        <x:v>現行作法對「辨識失敗實驗對假設空間的資訊貢獻」多靠人工彙整、個人經驗或事後處理，難以一致追蹤，造成決策延遲與重工。</x:v>
      </x:c>
      <x:c r="H378" s="37" t="str">
        <x:v>資料／事件接入；辨識失敗實驗對假設空間的資訊貢獻；證據與信心呈現；例外分流與人工覆核；避免重複失敗成效追蹤；完整稽核軌跡</x:v>
      </x:c>
      <x:c r="I378" s="37" t="str">
        <x:v>異常偵測；因果線索分析；可解釋的建議排序；專門模型焦點：辨識失敗實驗對假設空間的資訊貢獻</x:v>
      </x:c>
      <x:c r="J378" s="37" t="str">
        <x:v>依目標自主規劃步驟、呼叫核准工具、遇到例外改走人工佇列，完成後驗證結果並回報</x:v>
      </x:c>
      <x:c r="K378" s="37" t="str">
        <x:v>L3 可執行／關鍵核准</x:v>
      </x:c>
      <x:c r="L378" s="37" t="str">
        <x:v>實驗計畫、樣品、儀器、原始數據、試劑、方法、環境與偏差</x:v>
      </x:c>
      <x:c r="M378" s="37" t="str">
        <x:v>LIMS、ELN、QMS、儀器軟體、ERP、PLM</x:v>
      </x:c>
      <x:c r="N378" s="37" t="str">
        <x:v>研發與檢測實驗室希望提高實驗成功率、可再現性與合規證據品質。Demo：匯入一組去識別資料，觸發「辨識失敗實驗對假設空間的資訊貢獻」，由系統提出證據、建議與下一步；使用者核准後回寫任務，最後呈現「避免重複失敗」前後差異。</x:v>
      </x:c>
      <x:c r="O378" s="37" t="str">
        <x:v>中</x:v>
      </x:c>
      <x:c r="P378" s="37" t="str">
        <x:v>鄰近既有能力：原有 LIMS 可能管樣品與結果；本群聚焦實驗設計、再現性、科學推理與資料完整性。本 App 的獨立邊界是「辨識失敗實驗對假設空間的資訊貢獻」，主要產出為「避免重複失敗」，不是一般登錄、查詢或看板。</x:v>
      </x:c>
      <x:c r="Q378" s="38" t="n">
        <x:v>3</x:v>
      </x:c>
      <x:c r="R378" s="38" t="n">
        <x:v>4</x:v>
      </x:c>
      <x:c r="S378" s="38" t="str">
        <x:v>P2</x:v>
      </x:c>
      <x:c r="T378" s="38" t="n">
        <x:v>9</x:v>
      </x:c>
      <x:c r="U378" s="39" t="str">
        <x:v>Wave 3 垂直擴充</x:v>
      </x:c>
    </x:row>
    <x:row r="379" ht="86" customHeight="1">
      <x:c r="A379" s="36" t="str">
        <x:v>JV-375</x:v>
      </x:c>
      <x:c r="B379" s="37" t="str">
        <x:v>跨團隊實驗衝突排程器</x:v>
      </x:c>
      <x:c r="C379" s="37" t="str">
        <x:v>實驗室／Lab</x:v>
      </x:c>
      <x:c r="D379" s="37" t="str">
        <x:v>實驗設計</x:v>
      </x:c>
      <x:c r="E379" s="37" t="str">
        <x:v>研發、實驗室、品質、法規</x:v>
      </x:c>
      <x:c r="F379" s="37" t="str">
        <x:v>實驗室主管、研究員、技術員、品質人員</x:v>
      </x:c>
      <x:c r="G379" s="37" t="str">
        <x:v>現行作法對「協調儀器、樣品、環境與人員限制」多靠人工彙整、個人經驗或事後處理，難以一致追蹤，造成決策延遲與重工。</x:v>
      </x:c>
      <x:c r="H379" s="37" t="str">
        <x:v>資料／事件接入；協調儀器、樣品、環境與人員限制；證據與信心呈現；例外分流與人工覆核；提高資源利用成效追蹤；完整稽核軌跡</x:v>
      </x:c>
      <x:c r="I379" s="37" t="str">
        <x:v>RAG 檢索與來源引用；規則＋模型混合判斷；矛盾檢查；專門模型焦點：協調儀器、樣品、環境與人員限制</x:v>
      </x:c>
      <x:c r="J379" s="37" t="str">
        <x:v>與多個專業 Agent 協作拆解任務，保留交接證據、逾時升級並在失敗時安全回滾</x:v>
      </x:c>
      <x:c r="K379" s="37" t="str">
        <x:v>L2 建議／需核准</x:v>
      </x:c>
      <x:c r="L379" s="37" t="str">
        <x:v>實驗計畫、樣品、儀器、原始數據、試劑、方法、環境與偏差</x:v>
      </x:c>
      <x:c r="M379" s="37" t="str">
        <x:v>LIMS、ELN、QMS、儀器軟體、ERP、PLM</x:v>
      </x:c>
      <x:c r="N379" s="37" t="str">
        <x:v>研發與檢測實驗室希望提高實驗成功率、可再現性與合規證據品質。Demo：匯入一組去識別資料，觸發「協調儀器、樣品、環境與人員限制」，由系統提出證據、建議與下一步；使用者核准後回寫任務，最後呈現「提高資源利用」前後差異。</x:v>
      </x:c>
      <x:c r="O379" s="37" t="str">
        <x:v>中低</x:v>
      </x:c>
      <x:c r="P379" s="37" t="str">
        <x:v>鄰近既有能力：原有 LIMS 可能管樣品與結果；本群聚焦實驗設計、再現性、科學推理與資料完整性。本 App 的獨立邊界是「協調儀器、樣品、環境與人員限制」，主要產出為「提高資源利用」，不是一般登錄、查詢或看板。</x:v>
      </x:c>
      <x:c r="Q379" s="38" t="n">
        <x:v>4</x:v>
      </x:c>
      <x:c r="R379" s="38" t="n">
        <x:v>5</x:v>
      </x:c>
      <x:c r="S379" s="38" t="str">
        <x:v>P2</x:v>
      </x:c>
      <x:c r="T379" s="38" t="n">
        <x:v>11</x:v>
      </x:c>
      <x:c r="U379" s="39" t="str">
        <x:v>Wave 3 垂直擴充</x:v>
      </x:c>
    </x:row>
    <x:row r="380" ht="86" customHeight="1">
      <x:c r="A380" s="36" t="str">
        <x:v>JV-376</x:v>
      </x:c>
      <x:c r="B380" s="37" t="str">
        <x:v>ALCOA+ 資料完整性稽核員</x:v>
      </x:c>
      <x:c r="C380" s="37" t="str">
        <x:v>實驗室／Lab</x:v>
      </x:c>
      <x:c r="D380" s="37" t="str">
        <x:v>資料完整性</x:v>
      </x:c>
      <x:c r="E380" s="37" t="str">
        <x:v>研發、實驗室、品質、法規</x:v>
      </x:c>
      <x:c r="F380" s="37" t="str">
        <x:v>實驗室主管、研究員、技術員、品質人員</x:v>
      </x:c>
      <x:c r="G380" s="37" t="str">
        <x:v>現行作法對「偵測補登、覆寫、時間矛盾與缺少歸屬」多靠人工彙整、個人經驗或事後處理，難以一致追蹤，造成決策延遲與重工。</x:v>
      </x:c>
      <x:c r="H380" s="37" t="str">
        <x:v>資料／事件接入；偵測補登、覆寫、時間矛盾與缺少歸屬；證據與信心呈現；例外分流與人工覆核；強化合規成效追蹤；完整稽核軌跡</x:v>
      </x:c>
      <x:c r="I380" s="37" t="str">
        <x:v>語意分類與實體抽取；風險／信心評分；具證據的生成與摘要；專門模型焦點：偵測補登、覆寫、時間矛盾與缺少歸屬</x:v>
      </x:c>
      <x:c r="J380" s="37" t="str">
        <x:v>持續監測事件，達門檻後建立案件、蒐集證據、指派責任並追蹤結案；高風險動作需人工核准</x:v>
      </x:c>
      <x:c r="K380" s="37" t="str">
        <x:v>L3 可執行／關鍵核准</x:v>
      </x:c>
      <x:c r="L380" s="37" t="str">
        <x:v>實驗計畫、樣品、儀器、原始數據、試劑、方法、環境與偏差</x:v>
      </x:c>
      <x:c r="M380" s="37" t="str">
        <x:v>LIMS、ELN、QMS、儀器軟體、ERP、PLM</x:v>
      </x:c>
      <x:c r="N380" s="37" t="str">
        <x:v>研發與檢測實驗室希望提高實驗成功率、可再現性與合規證據品質。Demo：匯入一組去識別資料，觸發「偵測補登、覆寫、時間矛盾與缺少歸屬」，由系統提出證據、建議與下一步；使用者核准後回寫任務，最後呈現「強化合規」前後差異。</x:v>
      </x:c>
      <x:c r="O380" s="37" t="str">
        <x:v>中</x:v>
      </x:c>
      <x:c r="P380" s="37" t="str">
        <x:v>鄰近既有能力：原有 LIMS 可能管樣品與結果；本群聚焦實驗設計、再現性、科學推理與資料完整性。本 App 的獨立邊界是「偵測補登、覆寫、時間矛盾與缺少歸屬」，主要產出為「強化合規」，不是一般登錄、查詢或看板。</x:v>
      </x:c>
      <x:c r="Q380" s="38" t="n">
        <x:v>4</x:v>
      </x:c>
      <x:c r="R380" s="38" t="n">
        <x:v>3</x:v>
      </x:c>
      <x:c r="S380" s="38" t="str">
        <x:v>P2</x:v>
      </x:c>
      <x:c r="T380" s="38" t="n">
        <x:v>7</x:v>
      </x:c>
      <x:c r="U380" s="39" t="str">
        <x:v>Wave 3 垂直擴充</x:v>
      </x:c>
    </x:row>
    <x:row r="381" ht="86" customHeight="1">
      <x:c r="A381" s="36" t="str">
        <x:v>JV-377</x:v>
      </x:c>
      <x:c r="B381" s="37" t="str">
        <x:v>原始數據到報告追溯器</x:v>
      </x:c>
      <x:c r="C381" s="37" t="str">
        <x:v>實驗室／Lab</x:v>
      </x:c>
      <x:c r="D381" s="37" t="str">
        <x:v>資料完整性</x:v>
      </x:c>
      <x:c r="E381" s="37" t="str">
        <x:v>研發、實驗室、品質、法規</x:v>
      </x:c>
      <x:c r="F381" s="37" t="str">
        <x:v>實驗室主管、研究員、技術員、品質人員</x:v>
      </x:c>
      <x:c r="G381" s="37" t="str">
        <x:v>現行作法對「逐圖表追到儀器檔、處理步驟與版本」多靠人工彙整、個人經驗或事後處理，難以一致追蹤，造成決策延遲與重工。</x:v>
      </x:c>
      <x:c r="H381" s="37" t="str">
        <x:v>資料／事件接入；逐圖表追到儀器檔、處理步驟與版本；證據與信心呈現；例外分流與人工覆核；支援查核成效追蹤；完整稽核軌跡</x:v>
      </x:c>
      <x:c r="I381" s="37" t="str">
        <x:v>預測與情境模擬；多目標最佳化；不確定性呈現；專門模型焦點：逐圖表追到儀器檔、處理步驟與版本</x:v>
      </x:c>
      <x:c r="J381" s="37" t="str">
        <x:v>定期掃描資料與外部訊號，提出優先序與建議；經核准後同步任務與更新來源系統</x:v>
      </x:c>
      <x:c r="K381" s="37" t="str">
        <x:v>L3 可執行／關鍵核准</x:v>
      </x:c>
      <x:c r="L381" s="37" t="str">
        <x:v>實驗計畫、樣品、儀器、原始數據、試劑、方法、環境與偏差</x:v>
      </x:c>
      <x:c r="M381" s="37" t="str">
        <x:v>LIMS、ELN、QMS、儀器軟體、ERP、PLM</x:v>
      </x:c>
      <x:c r="N381" s="37" t="str">
        <x:v>研發與檢測實驗室希望提高實驗成功率、可再現性與合規證據品質。Demo：匯入一組去識別資料，觸發「逐圖表追到儀器檔、處理步驟與版本」，由系統提出證據、建議與下一步；使用者核准後回寫任務，最後呈現「支援查核」前後差異。</x:v>
      </x:c>
      <x:c r="O381" s="37" t="str">
        <x:v>中低</x:v>
      </x:c>
      <x:c r="P381" s="37" t="str">
        <x:v>鄰近既有能力：原有 LIMS 可能管樣品與結果；本群聚焦實驗設計、再現性、科學推理與資料完整性。本 App 的獨立邊界是「逐圖表追到儀器檔、處理步驟與版本」，主要產出為「支援查核」，不是一般登錄、查詢或看板。</x:v>
      </x:c>
      <x:c r="Q381" s="38" t="n">
        <x:v>4</x:v>
      </x:c>
      <x:c r="R381" s="38" t="n">
        <x:v>4</x:v>
      </x:c>
      <x:c r="S381" s="38" t="str">
        <x:v>P2</x:v>
      </x:c>
      <x:c r="T381" s="38" t="n">
        <x:v>9</x:v>
      </x:c>
      <x:c r="U381" s="39" t="str">
        <x:v>Wave 3 垂直擴充</x:v>
      </x:c>
    </x:row>
    <x:row r="382" ht="86" customHeight="1">
      <x:c r="A382" s="36" t="str">
        <x:v>JV-378</x:v>
      </x:c>
      <x:c r="B382" s="37" t="str">
        <x:v>異常值處置證據助手</x:v>
      </x:c>
      <x:c r="C382" s="37" t="str">
        <x:v>實驗室／Lab</x:v>
      </x:c>
      <x:c r="D382" s="37" t="str">
        <x:v>資料完整性</x:v>
      </x:c>
      <x:c r="E382" s="37" t="str">
        <x:v>研發、實驗室、品質、法規</x:v>
      </x:c>
      <x:c r="F382" s="37" t="str">
        <x:v>實驗室主管、研究員、技術員、品質人員</x:v>
      </x:c>
      <x:c r="G382" s="37" t="str">
        <x:v>現行作法對「記錄判斷、替代分析與核准理由」多靠人工彙整、個人經驗或事後處理，難以一致追蹤，造成決策延遲與重工。</x:v>
      </x:c>
      <x:c r="H382" s="37" t="str">
        <x:v>資料／事件接入；記錄判斷、替代分析與核准理由；證據與信心呈現；例外分流與人工覆核；避免任意排除成效追蹤；完整稽核軌跡</x:v>
      </x:c>
      <x:c r="I382" s="37" t="str">
        <x:v>跨文件／跨系統比對；圖譜推理；差異與缺口生成；專門模型焦點：記錄判斷、替代分析與核准理由</x:v>
      </x:c>
      <x:c r="J382" s="37" t="str">
        <x:v>以人機協作模式先產生草案與證據包，接受修改後執行核准步驟並建立完整稽核軌跡</x:v>
      </x:c>
      <x:c r="K382" s="37" t="str">
        <x:v>L3 可執行／關鍵核准</x:v>
      </x:c>
      <x:c r="L382" s="37" t="str">
        <x:v>實驗計畫、樣品、儀器、原始數據、試劑、方法、環境與偏差</x:v>
      </x:c>
      <x:c r="M382" s="37" t="str">
        <x:v>LIMS、ELN、QMS、儀器軟體、ERP、PLM</x:v>
      </x:c>
      <x:c r="N382" s="37" t="str">
        <x:v>研發與檢測實驗室希望提高實驗成功率、可再現性與合規證據品質。Demo：匯入一組去識別資料，觸發「記錄判斷、替代分析與核准理由」，由系統提出證據、建議與下一步；使用者核准後回寫任務，最後呈現「避免任意排除」前後差異。</x:v>
      </x:c>
      <x:c r="O382" s="37" t="str">
        <x:v>中低</x:v>
      </x:c>
      <x:c r="P382" s="37" t="str">
        <x:v>鄰近既有能力：原有 LIMS 可能管樣品與結果；本群聚焦實驗設計、再現性、科學推理與資料完整性。本 App 的獨立邊界是「記錄判斷、替代分析與核准理由」，主要產出為「避免任意排除」，不是一般登錄、查詢或看板。</x:v>
      </x:c>
      <x:c r="Q382" s="38" t="n">
        <x:v>4</x:v>
      </x:c>
      <x:c r="R382" s="38" t="n">
        <x:v>4</x:v>
      </x:c>
      <x:c r="S382" s="38" t="str">
        <x:v>P2</x:v>
      </x:c>
      <x:c r="T382" s="38" t="n">
        <x:v>9</x:v>
      </x:c>
      <x:c r="U382" s="39" t="str">
        <x:v>Wave 3 垂直擴充</x:v>
      </x:c>
    </x:row>
    <x:row r="383" ht="86" customHeight="1">
      <x:c r="A383" s="36" t="str">
        <x:v>JV-379</x:v>
      </x:c>
      <x:c r="B383" s="37" t="str">
        <x:v>實驗筆記完整度教練</x:v>
      </x:c>
      <x:c r="C383" s="37" t="str">
        <x:v>實驗室／Lab</x:v>
      </x:c>
      <x:c r="D383" s="37" t="str">
        <x:v>資料完整性</x:v>
      </x:c>
      <x:c r="E383" s="37" t="str">
        <x:v>研發、實驗室、品質、法規</x:v>
      </x:c>
      <x:c r="F383" s="37" t="str">
        <x:v>實驗室主管、研究員、技術員、品質人員</x:v>
      </x:c>
      <x:c r="G383" s="37" t="str">
        <x:v>現行作法對「檢查材料、方法、環境與觀察是否足以重現」多靠人工彙整、個人經驗或事後處理，難以一致追蹤，造成決策延遲與重工。</x:v>
      </x:c>
      <x:c r="H383" s="37" t="str">
        <x:v>資料／事件接入；檢查材料、方法、環境與觀察是否足以重現；證據與信心呈現；例外分流與人工覆核；提升紀錄品質成效追蹤；完整稽核軌跡</x:v>
      </x:c>
      <x:c r="I383" s="37" t="str">
        <x:v>異常偵測；因果線索分析；可解釋的建議排序；專門模型焦點：檢查材料、方法、環境與觀察是否足以重現</x:v>
      </x:c>
      <x:c r="J383" s="37" t="str">
        <x:v>依目標自主規劃步驟、呼叫核准工具、遇到例外改走人工佇列，完成後驗證結果並回報</x:v>
      </x:c>
      <x:c r="K383" s="37" t="str">
        <x:v>L3 可執行／關鍵核准</x:v>
      </x:c>
      <x:c r="L383" s="37" t="str">
        <x:v>實驗計畫、樣品、儀器、原始數據、試劑、方法、環境與偏差</x:v>
      </x:c>
      <x:c r="M383" s="37" t="str">
        <x:v>LIMS、ELN、QMS、儀器軟體、ERP、PLM</x:v>
      </x:c>
      <x:c r="N383" s="37" t="str">
        <x:v>研發與檢測實驗室希望提高實驗成功率、可再現性與合規證據品質。Demo：匯入一組去識別資料，觸發「檢查材料、方法、環境與觀察是否足以重現」，由系統提出證據、建議與下一步；使用者核准後回寫任務，最後呈現「提升紀錄品質」前後差異。</x:v>
      </x:c>
      <x:c r="O383" s="37" t="str">
        <x:v>中</x:v>
      </x:c>
      <x:c r="P383" s="37" t="str">
        <x:v>鄰近既有能力：原有 LIMS 可能管樣品與結果；本群聚焦實驗設計、再現性、科學推理與資料完整性。本 App 的獨立邊界是「檢查材料、方法、環境與觀察是否足以重現」，主要產出為「提升紀錄品質」，不是一般登錄、查詢或看板。</x:v>
      </x:c>
      <x:c r="Q383" s="38" t="n">
        <x:v>4</x:v>
      </x:c>
      <x:c r="R383" s="38" t="n">
        <x:v>4</x:v>
      </x:c>
      <x:c r="S383" s="38" t="str">
        <x:v>P2</x:v>
      </x:c>
      <x:c r="T383" s="38" t="n">
        <x:v>9</x:v>
      </x:c>
      <x:c r="U383" s="39" t="str">
        <x:v>Wave 3 垂直擴充</x:v>
      </x:c>
    </x:row>
    <x:row r="384" ht="86" customHeight="1">
      <x:c r="A384" s="36" t="str">
        <x:v>JV-380</x:v>
      </x:c>
      <x:c r="B384" s="37" t="str">
        <x:v>儀器時間同步異常偵測器</x:v>
      </x:c>
      <x:c r="C384" s="37" t="str">
        <x:v>實驗室／Lab</x:v>
      </x:c>
      <x:c r="D384" s="37" t="str">
        <x:v>資料完整性</x:v>
      </x:c>
      <x:c r="E384" s="37" t="str">
        <x:v>研發、實驗室、品質、法規</x:v>
      </x:c>
      <x:c r="F384" s="37" t="str">
        <x:v>實驗室主管、研究員、技術員、品質人員</x:v>
      </x:c>
      <x:c r="G384" s="37" t="str">
        <x:v>現行作法對「發現設備、伺服器與紀錄時間偏差」多靠人工彙整、個人經驗或事後處理，難以一致追蹤，造成決策延遲與重工。</x:v>
      </x:c>
      <x:c r="H384" s="37" t="str">
        <x:v>資料／事件接入；發現設備、伺服器與紀錄時間偏差；證據與信心呈現；例外分流與人工覆核；保護事件順序成效追蹤；完整稽核軌跡</x:v>
      </x:c>
      <x:c r="I384" s="37" t="str">
        <x:v>RAG 檢索與來源引用；規則＋模型混合判斷；矛盾檢查；專門模型焦點：發現設備、伺服器與紀錄時間偏差</x:v>
      </x:c>
      <x:c r="J384" s="37" t="str">
        <x:v>與多個專業 Agent 協作拆解任務，保留交接證據、逾時升級並在失敗時安全回滾</x:v>
      </x:c>
      <x:c r="K384" s="37" t="str">
        <x:v>L2 建議／需核准</x:v>
      </x:c>
      <x:c r="L384" s="37" t="str">
        <x:v>實驗計畫、樣品、儀器、原始數據、試劑、方法、環境與偏差</x:v>
      </x:c>
      <x:c r="M384" s="37" t="str">
        <x:v>LIMS、ELN、QMS、儀器軟體、ERP、PLM</x:v>
      </x:c>
      <x:c r="N384" s="37" t="str">
        <x:v>研發與檢測實驗室希望提高實驗成功率、可再現性與合規證據品質。Demo：匯入一組去識別資料，觸發「發現設備、伺服器與紀錄時間偏差」，由系統提出證據、建議與下一步；使用者核准後回寫任務，最後呈現「保護事件順序」前後差異。</x:v>
      </x:c>
      <x:c r="O384" s="37" t="str">
        <x:v>中低</x:v>
      </x:c>
      <x:c r="P384" s="37" t="str">
        <x:v>鄰近既有能力：原有 LIMS 可能管樣品與結果；本群聚焦實驗設計、再現性、科學推理與資料完整性。本 App 的獨立邊界是「發現設備、伺服器與紀錄時間偏差」，主要產出為「保護事件順序」，不是一般登錄、查詢或看板。</x:v>
      </x:c>
      <x:c r="Q384" s="38" t="n">
        <x:v>3</x:v>
      </x:c>
      <x:c r="R384" s="38" t="n">
        <x:v>5</x:v>
      </x:c>
      <x:c r="S384" s="38" t="str">
        <x:v>P2</x:v>
      </x:c>
      <x:c r="T384" s="38" t="n">
        <x:v>11</x:v>
      </x:c>
      <x:c r="U384" s="39" t="str">
        <x:v>Wave 3 垂直擴充</x:v>
      </x:c>
    </x:row>
    <x:row r="385" ht="86" customHeight="1">
      <x:c r="A385" s="36" t="str">
        <x:v>JV-381</x:v>
      </x:c>
      <x:c r="B385" s="37" t="str">
        <x:v>分析方法轉移風險評估器</x:v>
      </x:c>
      <x:c r="C385" s="37" t="str">
        <x:v>實驗室／Lab</x:v>
      </x:c>
      <x:c r="D385" s="37" t="str">
        <x:v>方法與再現性</x:v>
      </x:c>
      <x:c r="E385" s="37" t="str">
        <x:v>研發、實驗室、品質、法規</x:v>
      </x:c>
      <x:c r="F385" s="37" t="str">
        <x:v>實驗室主管、研究員、技術員、品質人員</x:v>
      </x:c>
      <x:c r="G385" s="37" t="str">
        <x:v>現行作法對「比較兩實驗室設備、人員與環境差異」多靠人工彙整、個人經驗或事後處理，難以一致追蹤，造成決策延遲與重工。</x:v>
      </x:c>
      <x:c r="H385" s="37" t="str">
        <x:v>資料／事件接入；比較兩實驗室設備、人員與環境差異；證據與信心呈現；例外分流與人工覆核；提高轉移成功率成效追蹤；完整稽核軌跡</x:v>
      </x:c>
      <x:c r="I385" s="37" t="str">
        <x:v>語意分類與實體抽取；風險／信心評分；具證據的生成與摘要；專門模型焦點：比較兩實驗室設備、人員與環境差異</x:v>
      </x:c>
      <x:c r="J385" s="37" t="str">
        <x:v>持續監測事件，達門檻後建立案件、蒐集證據、指派責任並追蹤結案；高風險動作需人工核准</x:v>
      </x:c>
      <x:c r="K385" s="37" t="str">
        <x:v>L3 可執行／關鍵核准</x:v>
      </x:c>
      <x:c r="L385" s="37" t="str">
        <x:v>實驗計畫、樣品、儀器、原始數據、試劑、方法、環境與偏差</x:v>
      </x:c>
      <x:c r="M385" s="37" t="str">
        <x:v>LIMS、ELN、QMS、儀器軟體、ERP、PLM</x:v>
      </x:c>
      <x:c r="N385" s="37" t="str">
        <x:v>研發與檢測實驗室希望提高實驗成功率、可再現性與合規證據品質。Demo：匯入一組去識別資料，觸發「比較兩實驗室設備、人員與環境差異」，由系統提出證據、建議與下一步；使用者核准後回寫任務，最後呈現「提高轉移成功率」前後差異。</x:v>
      </x:c>
      <x:c r="O385" s="37" t="str">
        <x:v>中</x:v>
      </x:c>
      <x:c r="P385" s="37" t="str">
        <x:v>鄰近既有能力：原有 LIMS 可能管樣品與結果；本群聚焦實驗設計、再現性、科學推理與資料完整性。本 App 的獨立邊界是「比較兩實驗室設備、人員與環境差異」，主要產出為「提高轉移成功率」，不是一般登錄、查詢或看板。</x:v>
      </x:c>
      <x:c r="Q385" s="38" t="n">
        <x:v>4</x:v>
      </x:c>
      <x:c r="R385" s="38" t="n">
        <x:v>3</x:v>
      </x:c>
      <x:c r="S385" s="38" t="str">
        <x:v>P2</x:v>
      </x:c>
      <x:c r="T385" s="38" t="n">
        <x:v>7</x:v>
      </x:c>
      <x:c r="U385" s="39" t="str">
        <x:v>Wave 3 垂直擴充</x:v>
      </x:c>
    </x:row>
    <x:row r="386" ht="86" customHeight="1">
      <x:c r="A386" s="36" t="str">
        <x:v>JV-382</x:v>
      </x:c>
      <x:c r="B386" s="37" t="str">
        <x:v>跨批次再現性分析器</x:v>
      </x:c>
      <x:c r="C386" s="37" t="str">
        <x:v>實驗室／Lab</x:v>
      </x:c>
      <x:c r="D386" s="37" t="str">
        <x:v>方法與再現性</x:v>
      </x:c>
      <x:c r="E386" s="37" t="str">
        <x:v>研發、實驗室、品質、法規</x:v>
      </x:c>
      <x:c r="F386" s="37" t="str">
        <x:v>實驗室主管、研究員、技術員、品質人員</x:v>
      </x:c>
      <x:c r="G386" s="37" t="str">
        <x:v>現行作法對「分解操作、試劑、儀器與環境變異」多靠人工彙整、個人經驗或事後處理，難以一致追蹤，造成決策延遲與重工。</x:v>
      </x:c>
      <x:c r="H386" s="37" t="str">
        <x:v>資料／事件接入；分解操作、試劑、儀器與環境變異；證據與信心呈現；例外分流與人工覆核；找出不穩定源成效追蹤；完整稽核軌跡</x:v>
      </x:c>
      <x:c r="I386" s="37" t="str">
        <x:v>預測與情境模擬；多目標最佳化；不確定性呈現；專門模型焦點：分解操作、試劑、儀器與環境變異</x:v>
      </x:c>
      <x:c r="J386" s="37" t="str">
        <x:v>定期掃描資料與外部訊號，提出優先序與建議；經核准後同步任務與更新來源系統</x:v>
      </x:c>
      <x:c r="K386" s="37" t="str">
        <x:v>L3 可執行／關鍵核准</x:v>
      </x:c>
      <x:c r="L386" s="37" t="str">
        <x:v>實驗計畫、樣品、儀器、原始數據、試劑、方法、環境與偏差</x:v>
      </x:c>
      <x:c r="M386" s="37" t="str">
        <x:v>LIMS、ELN、QMS、儀器軟體、ERP、PLM</x:v>
      </x:c>
      <x:c r="N386" s="37" t="str">
        <x:v>研發與檢測實驗室希望提高實驗成功率、可再現性與合規證據品質。Demo：匯入一組去識別資料，觸發「分解操作、試劑、儀器與環境變異」，由系統提出證據、建議與下一步；使用者核准後回寫任務，最後呈現「找出不穩定源」前後差異。</x:v>
      </x:c>
      <x:c r="O386" s="37" t="str">
        <x:v>中低</x:v>
      </x:c>
      <x:c r="P386" s="37" t="str">
        <x:v>鄰近既有能力：原有 LIMS 可能管樣品與結果；本群聚焦實驗設計、再現性、科學推理與資料完整性。本 App 的獨立邊界是「分解操作、試劑、儀器與環境變異」，主要產出為「找出不穩定源」，不是一般登錄、查詢或看板。</x:v>
      </x:c>
      <x:c r="Q386" s="38" t="n">
        <x:v>4</x:v>
      </x:c>
      <x:c r="R386" s="38" t="n">
        <x:v>4</x:v>
      </x:c>
      <x:c r="S386" s="38" t="str">
        <x:v>P2</x:v>
      </x:c>
      <x:c r="T386" s="38" t="n">
        <x:v>9</x:v>
      </x:c>
      <x:c r="U386" s="39" t="str">
        <x:v>Wave 3 垂直擴充</x:v>
      </x:c>
    </x:row>
    <x:row r="387" ht="86" customHeight="1">
      <x:c r="A387" s="36" t="str">
        <x:v>JV-383</x:v>
      </x:c>
      <x:c r="B387" s="37" t="str">
        <x:v>方法適用性守門員</x:v>
      </x:c>
      <x:c r="C387" s="37" t="str">
        <x:v>實驗室／Lab</x:v>
      </x:c>
      <x:c r="D387" s="37" t="str">
        <x:v>方法與再現性</x:v>
      </x:c>
      <x:c r="E387" s="37" t="str">
        <x:v>研發、實驗室、品質、法規</x:v>
      </x:c>
      <x:c r="F387" s="37" t="str">
        <x:v>實驗室主管、研究員、技術員、品質人員</x:v>
      </x:c>
      <x:c r="G387" s="37" t="str">
        <x:v>現行作法對「檢查樣品基質、範圍與偵測極限是否適用」多靠人工彙整、個人經驗或事後處理，難以一致追蹤，造成決策延遲與重工。</x:v>
      </x:c>
      <x:c r="H387" s="37" t="str">
        <x:v>資料／事件接入；檢查樣品基質、範圍與偵測極限是否適用；證據與信心呈現；例外分流與人工覆核；避免誤用方法成效追蹤；完整稽核軌跡</x:v>
      </x:c>
      <x:c r="I387" s="37" t="str">
        <x:v>跨文件／跨系統比對；圖譜推理；差異與缺口生成；專門模型焦點：檢查樣品基質、範圍與偵測極限是否適用</x:v>
      </x:c>
      <x:c r="J387" s="37" t="str">
        <x:v>以人機協作模式先產生草案與證據包，接受修改後執行核准步驟並建立完整稽核軌跡</x:v>
      </x:c>
      <x:c r="K387" s="37" t="str">
        <x:v>L3 可執行／關鍵核准</x:v>
      </x:c>
      <x:c r="L387" s="37" t="str">
        <x:v>實驗計畫、樣品、儀器、原始數據、試劑、方法、環境與偏差</x:v>
      </x:c>
      <x:c r="M387" s="37" t="str">
        <x:v>LIMS、ELN、QMS、儀器軟體、ERP、PLM</x:v>
      </x:c>
      <x:c r="N387" s="37" t="str">
        <x:v>研發與檢測實驗室希望提高實驗成功率、可再現性與合規證據品質。Demo：匯入一組去識別資料，觸發「檢查樣品基質、範圍與偵測極限是否適用」，由系統提出證據、建議與下一步；使用者核准後回寫任務，最後呈現「避免誤用方法」前後差異。</x:v>
      </x:c>
      <x:c r="O387" s="37" t="str">
        <x:v>中低</x:v>
      </x:c>
      <x:c r="P387" s="37" t="str">
        <x:v>鄰近既有能力：原有 LIMS 可能管樣品與結果；本群聚焦實驗設計、再現性、科學推理與資料完整性。本 App 的獨立邊界是「檢查樣品基質、範圍與偵測極限是否適用」，主要產出為「避免誤用方法」，不是一般登錄、查詢或看板。</x:v>
      </x:c>
      <x:c r="Q387" s="38" t="n">
        <x:v>4</x:v>
      </x:c>
      <x:c r="R387" s="38" t="n">
        <x:v>4</x:v>
      </x:c>
      <x:c r="S387" s="38" t="str">
        <x:v>P2</x:v>
      </x:c>
      <x:c r="T387" s="38" t="n">
        <x:v>9</x:v>
      </x:c>
      <x:c r="U387" s="39" t="str">
        <x:v>Wave 3 垂直擴充</x:v>
      </x:c>
    </x:row>
    <x:row r="388" ht="86" customHeight="1">
      <x:c r="A388" s="36" t="str">
        <x:v>JV-384</x:v>
      </x:c>
      <x:c r="B388" s="37" t="str">
        <x:v>標準品與試劑效能漂移雷達</x:v>
      </x:c>
      <x:c r="C388" s="37" t="str">
        <x:v>實驗室／Lab</x:v>
      </x:c>
      <x:c r="D388" s="37" t="str">
        <x:v>方法與再現性</x:v>
      </x:c>
      <x:c r="E388" s="37" t="str">
        <x:v>研發、實驗室、品質、法規</x:v>
      </x:c>
      <x:c r="F388" s="37" t="str">
        <x:v>實驗室主管、研究員、技術員、品質人員</x:v>
      </x:c>
      <x:c r="G388" s="37" t="str">
        <x:v>現行作法對「從品管結果辨識活性或純度退化」多靠人工彙整、個人經驗或事後處理，難以一致追蹤，造成決策延遲與重工。</x:v>
      </x:c>
      <x:c r="H388" s="37" t="str">
        <x:v>資料／事件接入；從品管結果辨識活性或純度退化；證據與信心呈現；例外分流與人工覆核；提前更換成效追蹤；完整稽核軌跡</x:v>
      </x:c>
      <x:c r="I388" s="37" t="str">
        <x:v>異常偵測；因果線索分析；可解釋的建議排序；專門模型焦點：從品管結果辨識活性或純度退化</x:v>
      </x:c>
      <x:c r="J388" s="37" t="str">
        <x:v>依目標自主規劃步驟、呼叫核准工具、遇到例外改走人工佇列，完成後驗證結果並回報</x:v>
      </x:c>
      <x:c r="K388" s="37" t="str">
        <x:v>L3 可執行／關鍵核准</x:v>
      </x:c>
      <x:c r="L388" s="37" t="str">
        <x:v>實驗計畫、樣品、儀器、原始數據、試劑、方法、環境與偏差</x:v>
      </x:c>
      <x:c r="M388" s="37" t="str">
        <x:v>LIMS、ELN、QMS、儀器軟體、ERP、PLM</x:v>
      </x:c>
      <x:c r="N388" s="37" t="str">
        <x:v>研發與檢測實驗室希望提高實驗成功率、可再現性與合規證據品質。Demo：匯入一組去識別資料，觸發「從品管結果辨識活性或純度退化」，由系統提出證據、建議與下一步；使用者核准後回寫任務，最後呈現「提前更換」前後差異。</x:v>
      </x:c>
      <x:c r="O388" s="37" t="str">
        <x:v>中</x:v>
      </x:c>
      <x:c r="P388" s="37" t="str">
        <x:v>鄰近既有能力：原有 LIMS 可能管樣品與結果；本群聚焦實驗設計、再現性、科學推理與資料完整性。本 App 的獨立邊界是「從品管結果辨識活性或純度退化」，主要產出為「提前更換」，不是一般登錄、查詢或看板。</x:v>
      </x:c>
      <x:c r="Q388" s="38" t="n">
        <x:v>4</x:v>
      </x:c>
      <x:c r="R388" s="38" t="n">
        <x:v>4</x:v>
      </x:c>
      <x:c r="S388" s="38" t="str">
        <x:v>P2</x:v>
      </x:c>
      <x:c r="T388" s="38" t="n">
        <x:v>9</x:v>
      </x:c>
      <x:c r="U388" s="39" t="str">
        <x:v>Wave 3 垂直擴充</x:v>
      </x:c>
    </x:row>
    <x:row r="389" ht="86" customHeight="1">
      <x:c r="A389" s="36" t="str">
        <x:v>JV-385</x:v>
      </x:c>
      <x:c r="B389" s="37" t="str">
        <x:v>實驗室間比對分析器</x:v>
      </x:c>
      <x:c r="C389" s="37" t="str">
        <x:v>實驗室／Lab</x:v>
      </x:c>
      <x:c r="D389" s="37" t="str">
        <x:v>方法與再現性</x:v>
      </x:c>
      <x:c r="E389" s="37" t="str">
        <x:v>研發、實驗室、品質、法規</x:v>
      </x:c>
      <x:c r="F389" s="37" t="str">
        <x:v>實驗室主管、研究員、技術員、品質人員</x:v>
      </x:c>
      <x:c r="G389" s="37" t="str">
        <x:v>現行作法對「比較多實驗室偏差並提出校正計畫」多靠人工彙整、個人經驗或事後處理，難以一致追蹤，造成決策延遲與重工。</x:v>
      </x:c>
      <x:c r="H389" s="37" t="str">
        <x:v>資料／事件接入；比較多實驗室偏差並提出校正計畫；證據與信心呈現；例外分流與人工覆核；提升一致性成效追蹤；完整稽核軌跡</x:v>
      </x:c>
      <x:c r="I389" s="37" t="str">
        <x:v>RAG 檢索與來源引用；規則＋模型混合判斷；矛盾檢查；專門模型焦點：比較多實驗室偏差並提出校正計畫</x:v>
      </x:c>
      <x:c r="J389" s="37" t="str">
        <x:v>與多個專業 Agent 協作拆解任務，保留交接證據、逾時升級並在失敗時安全回滾</x:v>
      </x:c>
      <x:c r="K389" s="37" t="str">
        <x:v>L2 建議／需核准</x:v>
      </x:c>
      <x:c r="L389" s="37" t="str">
        <x:v>實驗計畫、樣品、儀器、原始數據、試劑、方法、環境與偏差</x:v>
      </x:c>
      <x:c r="M389" s="37" t="str">
        <x:v>LIMS、ELN、QMS、儀器軟體、ERP、PLM</x:v>
      </x:c>
      <x:c r="N389" s="37" t="str">
        <x:v>研發與檢測實驗室希望提高實驗成功率、可再現性與合規證據品質。Demo：匯入一組去識別資料，觸發「比較多實驗室偏差並提出校正計畫」，由系統提出證據、建議與下一步；使用者核准後回寫任務，最後呈現「提升一致性」前後差異。</x:v>
      </x:c>
      <x:c r="O389" s="37" t="str">
        <x:v>中低</x:v>
      </x:c>
      <x:c r="P389" s="37" t="str">
        <x:v>鄰近既有能力：原有 LIMS 可能管樣品與結果；本群聚焦實驗設計、再現性、科學推理與資料完整性。本 App 的獨立邊界是「比較多實驗室偏差並提出校正計畫」，主要產出為「提升一致性」，不是一般登錄、查詢或看板。</x:v>
      </x:c>
      <x:c r="Q389" s="38" t="n">
        <x:v>4</x:v>
      </x:c>
      <x:c r="R389" s="38" t="n">
        <x:v>5</x:v>
      </x:c>
      <x:c r="S389" s="38" t="str">
        <x:v>P2</x:v>
      </x:c>
      <x:c r="T389" s="38" t="n">
        <x:v>11</x:v>
      </x:c>
      <x:c r="U389" s="39" t="str">
        <x:v>Wave 3 垂直擴充</x:v>
      </x:c>
    </x:row>
    <x:row r="390" ht="86" customHeight="1">
      <x:c r="A390" s="36" t="str">
        <x:v>JV-386</x:v>
      </x:c>
      <x:c r="B390" s="37" t="str">
        <x:v>化學相容性存放檢查器</x:v>
      </x:c>
      <x:c r="C390" s="37" t="str">
        <x:v>實驗室／Lab</x:v>
      </x:c>
      <x:c r="D390" s="37" t="str">
        <x:v>安全與營運</x:v>
      </x:c>
      <x:c r="E390" s="37" t="str">
        <x:v>研發、實驗室、品質、法規</x:v>
      </x:c>
      <x:c r="F390" s="37" t="str">
        <x:v>實驗室主管、研究員、技術員、品質人員</x:v>
      </x:c>
      <x:c r="G390" s="37" t="str">
        <x:v>現行作法對「依 SDS 與庫位辨識不相容共置」多靠人工彙整、個人經驗或事後處理，難以一致追蹤，造成決策延遲與重工。</x:v>
      </x:c>
      <x:c r="H390" s="37" t="str">
        <x:v>資料／事件接入；依 SDS 與庫位辨識不相容共置；證據與信心呈現；例外分流與人工覆核；降低事故成效追蹤；完整稽核軌跡</x:v>
      </x:c>
      <x:c r="I390" s="37" t="str">
        <x:v>語意分類與實體抽取；風險／信心評分；具證據的生成與摘要；專門模型焦點：依 SDS 與庫位辨識不相容共置</x:v>
      </x:c>
      <x:c r="J390" s="37" t="str">
        <x:v>持續監測事件，達門檻後建立案件、蒐集證據、指派責任並追蹤結案；高風險動作需人工核准</x:v>
      </x:c>
      <x:c r="K390" s="37" t="str">
        <x:v>L3 可執行／關鍵核准</x:v>
      </x:c>
      <x:c r="L390" s="37" t="str">
        <x:v>實驗計畫、樣品、儀器、原始數據、試劑、方法、環境與偏差</x:v>
      </x:c>
      <x:c r="M390" s="37" t="str">
        <x:v>LIMS、ELN、QMS、儀器軟體、ERP、PLM</x:v>
      </x:c>
      <x:c r="N390" s="37" t="str">
        <x:v>研發與檢測實驗室希望提高實驗成功率、可再現性與合規證據品質。Demo：匯入一組去識別資料，觸發「依 SDS 與庫位辨識不相容共置」，由系統提出證據、建議與下一步；使用者核准後回寫任務，最後呈現「降低事故」前後差異。</x:v>
      </x:c>
      <x:c r="O390" s="37" t="str">
        <x:v>中</x:v>
      </x:c>
      <x:c r="P390" s="37" t="str">
        <x:v>鄰近既有能力：原有 LIMS 可能管樣品與結果；本群聚焦實驗設計、再現性、科學推理與資料完整性。本 App 的獨立邊界是「依 SDS 與庫位辨識不相容共置」，主要產出為「降低事故」，不是一般登錄、查詢或看板。</x:v>
      </x:c>
      <x:c r="Q390" s="38" t="n">
        <x:v>4</x:v>
      </x:c>
      <x:c r="R390" s="38" t="n">
        <x:v>3</x:v>
      </x:c>
      <x:c r="S390" s="38" t="str">
        <x:v>P2</x:v>
      </x:c>
      <x:c r="T390" s="38" t="n">
        <x:v>7</x:v>
      </x:c>
      <x:c r="U390" s="39" t="str">
        <x:v>Wave 3 垂直擴充</x:v>
      </x:c>
    </x:row>
    <x:row r="391" ht="86" customHeight="1">
      <x:c r="A391" s="36" t="str">
        <x:v>JV-387</x:v>
      </x:c>
      <x:c r="B391" s="37" t="str">
        <x:v>實驗前風險評估 Agent</x:v>
      </x:c>
      <x:c r="C391" s="37" t="str">
        <x:v>實驗室／Lab</x:v>
      </x:c>
      <x:c r="D391" s="37" t="str">
        <x:v>安全與營運</x:v>
      </x:c>
      <x:c r="E391" s="37" t="str">
        <x:v>研發、實驗室、品質、法規</x:v>
      </x:c>
      <x:c r="F391" s="37" t="str">
        <x:v>實驗室主管、研究員、技術員、品質人員</x:v>
      </x:c>
      <x:c r="G391" s="37" t="str">
        <x:v>現行作法對「按步驟、物質與設備產生危害及控制清單」多靠人工彙整、個人經驗或事後處理，難以一致追蹤，造成決策延遲與重工。</x:v>
      </x:c>
      <x:c r="H391" s="37" t="str">
        <x:v>資料／事件接入；按步驟、物質與設備產生危害及控制清單；證據與信心呈現；例外分流與人工覆核；強化預防成效追蹤；完整稽核軌跡</x:v>
      </x:c>
      <x:c r="I391" s="37" t="str">
        <x:v>預測與情境模擬；多目標最佳化；不確定性呈現；專門模型焦點：按步驟、物質與設備產生危害及控制清單</x:v>
      </x:c>
      <x:c r="J391" s="37" t="str">
        <x:v>定期掃描資料與外部訊號，提出優先序與建議；經核准後同步任務與更新來源系統</x:v>
      </x:c>
      <x:c r="K391" s="37" t="str">
        <x:v>L3 可執行／關鍵核准</x:v>
      </x:c>
      <x:c r="L391" s="37" t="str">
        <x:v>實驗計畫、樣品、儀器、原始數據、試劑、方法、環境與偏差</x:v>
      </x:c>
      <x:c r="M391" s="37" t="str">
        <x:v>LIMS、ELN、QMS、儀器軟體、ERP、PLM</x:v>
      </x:c>
      <x:c r="N391" s="37" t="str">
        <x:v>研發與檢測實驗室希望提高實驗成功率、可再現性與合規證據品質。Demo：匯入一組去識別資料，觸發「按步驟、物質與設備產生危害及控制清單」，由系統提出證據、建議與下一步；使用者核准後回寫任務，最後呈現「強化預防」前後差異。</x:v>
      </x:c>
      <x:c r="O391" s="37" t="str">
        <x:v>中低</x:v>
      </x:c>
      <x:c r="P391" s="37" t="str">
        <x:v>鄰近既有能力：原有 LIMS 可能管樣品與結果；本群聚焦實驗設計、再現性、科學推理與資料完整性。本 App 的獨立邊界是「按步驟、物質與設備產生危害及控制清單」，主要產出為「強化預防」，不是一般登錄、查詢或看板。</x:v>
      </x:c>
      <x:c r="Q391" s="38" t="n">
        <x:v>4</x:v>
      </x:c>
      <x:c r="R391" s="38" t="n">
        <x:v>4</x:v>
      </x:c>
      <x:c r="S391" s="38" t="str">
        <x:v>P2</x:v>
      </x:c>
      <x:c r="T391" s="38" t="n">
        <x:v>9</x:v>
      </x:c>
      <x:c r="U391" s="39" t="str">
        <x:v>Wave 3 垂直擴充</x:v>
      </x:c>
    </x:row>
    <x:row r="392" ht="86" customHeight="1">
      <x:c r="A392" s="36" t="str">
        <x:v>JV-388</x:v>
      </x:c>
      <x:c r="B392" s="37" t="str">
        <x:v>儀器故障預測與樣品改派器</x:v>
      </x:c>
      <x:c r="C392" s="37" t="str">
        <x:v>實驗室／Lab</x:v>
      </x:c>
      <x:c r="D392" s="37" t="str">
        <x:v>安全與營運</x:v>
      </x:c>
      <x:c r="E392" s="37" t="str">
        <x:v>研發、實驗室、品質、法規</x:v>
      </x:c>
      <x:c r="F392" s="37" t="str">
        <x:v>實驗室主管、研究員、技術員、品質人員</x:v>
      </x:c>
      <x:c r="G392" s="37" t="str">
        <x:v>現行作法對「預測停機並自動調整樣品與維護」多靠人工彙整、個人經驗或事後處理，難以一致追蹤，造成決策延遲與重工。</x:v>
      </x:c>
      <x:c r="H392" s="37" t="str">
        <x:v>資料／事件接入；預測停機並自動調整樣品與維護；證據與信心呈現；例外分流與人工覆核；守住交期成效追蹤；完整稽核軌跡</x:v>
      </x:c>
      <x:c r="I392" s="37" t="str">
        <x:v>跨文件／跨系統比對；圖譜推理；差異與缺口生成；專門模型焦點：預測停機並自動調整樣品與維護</x:v>
      </x:c>
      <x:c r="J392" s="37" t="str">
        <x:v>以人機協作模式先產生草案與證據包，接受修改後執行核准步驟並建立完整稽核軌跡</x:v>
      </x:c>
      <x:c r="K392" s="37" t="str">
        <x:v>L3 可執行／關鍵核准</x:v>
      </x:c>
      <x:c r="L392" s="37" t="str">
        <x:v>實驗計畫、樣品、儀器、原始數據、試劑、方法、環境與偏差</x:v>
      </x:c>
      <x:c r="M392" s="37" t="str">
        <x:v>LIMS、ELN、QMS、儀器軟體、ERP、PLM</x:v>
      </x:c>
      <x:c r="N392" s="37" t="str">
        <x:v>研發與檢測實驗室希望提高實驗成功率、可再現性與合規證據品質。Demo：匯入一組去識別資料，觸發「預測停機並自動調整樣品與維護」，由系統提出證據、建議與下一步；使用者核准後回寫任務，最後呈現「守住交期」前後差異。</x:v>
      </x:c>
      <x:c r="O392" s="37" t="str">
        <x:v>中低</x:v>
      </x:c>
      <x:c r="P392" s="37" t="str">
        <x:v>鄰近既有能力：原有 LIMS 可能管樣品與結果；本群聚焦實驗設計、再現性、科學推理與資料完整性。本 App 的獨立邊界是「預測停機並自動調整樣品與維護」，主要產出為「守住交期」，不是一般登錄、查詢或看板。</x:v>
      </x:c>
      <x:c r="Q392" s="38" t="n">
        <x:v>4</x:v>
      </x:c>
      <x:c r="R392" s="38" t="n">
        <x:v>4</x:v>
      </x:c>
      <x:c r="S392" s="38" t="str">
        <x:v>P2</x:v>
      </x:c>
      <x:c r="T392" s="38" t="n">
        <x:v>9</x:v>
      </x:c>
      <x:c r="U392" s="39" t="str">
        <x:v>Wave 3 垂直擴充</x:v>
      </x:c>
    </x:row>
    <x:row r="393" ht="86" customHeight="1">
      <x:c r="A393" s="36" t="str">
        <x:v>JV-389</x:v>
      </x:c>
      <x:c r="B393" s="37" t="str">
        <x:v>實驗室環境偏差影響分析器</x:v>
      </x:c>
      <x:c r="C393" s="37" t="str">
        <x:v>實驗室／Lab</x:v>
      </x:c>
      <x:c r="D393" s="37" t="str">
        <x:v>安全與營運</x:v>
      </x:c>
      <x:c r="E393" s="37" t="str">
        <x:v>研發、實驗室、品質、法規</x:v>
      </x:c>
      <x:c r="F393" s="37" t="str">
        <x:v>實驗室主管、研究員、技術員、品質人員</x:v>
      </x:c>
      <x:c r="G393" s="37" t="str">
        <x:v>現行作法對「判斷溫濕度偏差影響哪些樣品與結果」多靠人工彙整、個人經驗或事後處理，難以一致追蹤，造成決策延遲與重工。</x:v>
      </x:c>
      <x:c r="H393" s="37" t="str">
        <x:v>資料／事件接入；判斷溫濕度偏差影響哪些樣品與結果；證據與信心呈現；例外分流與人工覆核；快速圈選成效追蹤；完整稽核軌跡</x:v>
      </x:c>
      <x:c r="I393" s="37" t="str">
        <x:v>異常偵測；因果線索分析；可解釋的建議排序；專門模型焦點：判斷溫濕度偏差影響哪些樣品與結果</x:v>
      </x:c>
      <x:c r="J393" s="37" t="str">
        <x:v>依目標自主規劃步驟、呼叫核准工具、遇到例外改走人工佇列，完成後驗證結果並回報</x:v>
      </x:c>
      <x:c r="K393" s="37" t="str">
        <x:v>L3 可執行／關鍵核准</x:v>
      </x:c>
      <x:c r="L393" s="37" t="str">
        <x:v>實驗計畫、樣品、儀器、原始數據、試劑、方法、環境與偏差</x:v>
      </x:c>
      <x:c r="M393" s="37" t="str">
        <x:v>LIMS、ELN、QMS、儀器軟體、ERP、PLM</x:v>
      </x:c>
      <x:c r="N393" s="37" t="str">
        <x:v>研發與檢測實驗室希望提高實驗成功率、可再現性與合規證據品質。Demo：匯入一組去識別資料，觸發「判斷溫濕度偏差影響哪些樣品與結果」，由系統提出證據、建議與下一步；使用者核准後回寫任務，最後呈現「快速圈選」前後差異。</x:v>
      </x:c>
      <x:c r="O393" s="37" t="str">
        <x:v>中</x:v>
      </x:c>
      <x:c r="P393" s="37" t="str">
        <x:v>鄰近既有能力：原有 LIMS 可能管樣品與結果；本群聚焦實驗設計、再現性、科學推理與資料完整性。本 App 的獨立邊界是「判斷溫濕度偏差影響哪些樣品與結果」，主要產出為「快速圈選」，不是一般登錄、查詢或看板。</x:v>
      </x:c>
      <x:c r="Q393" s="38" t="n">
        <x:v>4</x:v>
      </x:c>
      <x:c r="R393" s="38" t="n">
        <x:v>4</x:v>
      </x:c>
      <x:c r="S393" s="38" t="str">
        <x:v>P2</x:v>
      </x:c>
      <x:c r="T393" s="38" t="n">
        <x:v>9</x:v>
      </x:c>
      <x:c r="U393" s="39" t="str">
        <x:v>Wave 3 垂直擴充</x:v>
      </x:c>
    </x:row>
    <x:row r="394" ht="86" customHeight="1">
      <x:c r="A394" s="36" t="str">
        <x:v>JV-390</x:v>
      </x:c>
      <x:c r="B394" s="37" t="str">
        <x:v>試劑庫存效期最佳化器</x:v>
      </x:c>
      <x:c r="C394" s="37" t="str">
        <x:v>實驗室／Lab</x:v>
      </x:c>
      <x:c r="D394" s="37" t="str">
        <x:v>安全與營運</x:v>
      </x:c>
      <x:c r="E394" s="37" t="str">
        <x:v>研發、實驗室、品質、法規</x:v>
      </x:c>
      <x:c r="F394" s="37" t="str">
        <x:v>實驗室主管、研究員、技術員、品質人員</x:v>
      </x:c>
      <x:c r="G394" s="37" t="str">
        <x:v>現行作法對「依實驗排程與效期調整採購及用量」多靠人工彙整、個人經驗或事後處理，難以一致追蹤，造成決策延遲與重工。</x:v>
      </x:c>
      <x:c r="H394" s="37" t="str">
        <x:v>資料／事件接入；依實驗排程與效期調整採購及用量；證據與信心呈現；例外分流與人工覆核；減少報廢成效追蹤；完整稽核軌跡</x:v>
      </x:c>
      <x:c r="I394" s="37" t="str">
        <x:v>RAG 檢索與來源引用；規則＋模型混合判斷；矛盾檢查；專門模型焦點：依實驗排程與效期調整採購及用量</x:v>
      </x:c>
      <x:c r="J394" s="37" t="str">
        <x:v>與多個專業 Agent 協作拆解任務，保留交接證據、逾時升級並在失敗時安全回滾</x:v>
      </x:c>
      <x:c r="K394" s="37" t="str">
        <x:v>L2 建議／需核准</x:v>
      </x:c>
      <x:c r="L394" s="37" t="str">
        <x:v>實驗計畫、樣品、儀器、原始數據、試劑、方法、環境與偏差</x:v>
      </x:c>
      <x:c r="M394" s="37" t="str">
        <x:v>LIMS、ELN、QMS、儀器軟體、ERP、PLM</x:v>
      </x:c>
      <x:c r="N394" s="37" t="str">
        <x:v>研發與檢測實驗室希望提高實驗成功率、可再現性與合規證據品質。Demo：匯入一組去識別資料，觸發「依實驗排程與效期調整採購及用量」，由系統提出證據、建議與下一步；使用者核准後回寫任務，最後呈現「減少報廢」前後差異。</x:v>
      </x:c>
      <x:c r="O394" s="37" t="str">
        <x:v>中低</x:v>
      </x:c>
      <x:c r="P394" s="37" t="str">
        <x:v>鄰近既有能力：原有 LIMS 可能管樣品與結果；本群聚焦實驗設計、再現性、科學推理與資料完整性。本 App 的獨立邊界是「依實驗排程與效期調整採購及用量」，主要產出為「減少報廢」，不是一般登錄、查詢或看板。</x:v>
      </x:c>
      <x:c r="Q394" s="38" t="n">
        <x:v>4</x:v>
      </x:c>
      <x:c r="R394" s="38" t="n">
        <x:v>5</x:v>
      </x:c>
      <x:c r="S394" s="38" t="str">
        <x:v>P2</x:v>
      </x:c>
      <x:c r="T394" s="38" t="n">
        <x:v>11</x:v>
      </x:c>
      <x:c r="U394" s="39" t="str">
        <x:v>Wave 3 垂直擴充</x:v>
      </x:c>
    </x:row>
    <x:row r="395" ht="86" customHeight="1">
      <x:c r="A395" s="36" t="str">
        <x:v>JV-391</x:v>
      </x:c>
      <x:c r="B395" s="37" t="str">
        <x:v>政府標案語意雷達</x:v>
      </x:c>
      <x:c r="C395" s="37" t="str">
        <x:v>政府標案／補助</x:v>
      </x:c>
      <x:c r="D395" s="37" t="str">
        <x:v>機會雷達</x:v>
      </x:c>
      <x:c r="E395" s="37" t="str">
        <x:v>業務、策略、研發、財務、法務</x:v>
      </x:c>
      <x:c r="F395" s="37" t="str">
        <x:v>標案經理、業務主管、計畫主持人、財務人員</x:v>
      </x:c>
      <x:c r="G395" s="37" t="str">
        <x:v>現行作法對「依能力、實績與區域找出真正相關標案」多靠人工彙整、個人經驗或事後處理，難以一致追蹤，造成決策延遲與重工。</x:v>
      </x:c>
      <x:c r="H395" s="37" t="str">
        <x:v>資料／事件接入；依能力、實績與區域找出真正相關標案；證據與信心呈現；例外分流與人工覆核；減少人工搜尋成效追蹤；完整稽核軌跡</x:v>
      </x:c>
      <x:c r="I395" s="37" t="str">
        <x:v>語意分類與實體抽取；風險／信心評分；具證據的生成與摘要；專門模型焦點：依能力、實績與區域找出真正相關標案</x:v>
      </x:c>
      <x:c r="J395" s="37" t="str">
        <x:v>持續監測事件，達門檻後建立案件、蒐集證據、指派責任並追蹤結案；高風險動作需人工核准</x:v>
      </x:c>
      <x:c r="K395" s="37" t="str">
        <x:v>L3 可執行／關鍵核准</x:v>
      </x:c>
      <x:c r="L395" s="37" t="str">
        <x:v>標案公告、資格、公司實績、證照、成本、工作分解、補助辦法與里程碑</x:v>
      </x:c>
      <x:c r="M395" s="37" t="str">
        <x:v>CRM、DMS、ERP、專案管理、政府採購與補助資料源</x:v>
      </x:c>
      <x:c r="N395" s="37" t="str">
        <x:v>企業需快速判斷哪些案值得投、能否符合資格，並在期限內交出一致文件。Demo：匯入一組去識別資料，觸發「依能力、實績與區域找出真正相關標案」，由系統提出證據、建議與下一步；使用者核准後回寫任務，最後呈現「減少人工搜尋」前後差異。</x:v>
      </x:c>
      <x:c r="O395" s="37" t="str">
        <x:v>中低</x:v>
      </x:c>
      <x:c r="P395" s="37" t="str">
        <x:v>鄰近既有能力：原有業務可能管理商機；本群聚焦外部機會監測、資格論證、文件組裝與履約證據。本 App 的獨立邊界是「依能力、實績與區域找出真正相關標案」，主要產出為「減少人工搜尋」，不是一般登錄、查詢或看板。</x:v>
      </x:c>
      <x:c r="Q395" s="38" t="n">
        <x:v>4</x:v>
      </x:c>
      <x:c r="R395" s="38" t="n">
        <x:v>2</x:v>
      </x:c>
      <x:c r="S395" s="38" t="str">
        <x:v>P1</x:v>
      </x:c>
      <x:c r="T395" s="38" t="n">
        <x:v>5</x:v>
      </x:c>
      <x:c r="U395" s="39" t="str">
        <x:v>Wave 2 高價值套件</x:v>
      </x:c>
    </x:row>
    <x:row r="396" ht="86" customHeight="1">
      <x:c r="A396" s="36" t="str">
        <x:v>JV-392</x:v>
      </x:c>
      <x:c r="B396" s="37" t="str">
        <x:v>企業採購 RFP 雷達</x:v>
      </x:c>
      <x:c r="C396" s="37" t="str">
        <x:v>政府標案／補助</x:v>
      </x:c>
      <x:c r="D396" s="37" t="str">
        <x:v>機會雷達</x:v>
      </x:c>
      <x:c r="E396" s="37" t="str">
        <x:v>業務、策略、研發、財務、法務</x:v>
      </x:c>
      <x:c r="F396" s="37" t="str">
        <x:v>標案經理、業務主管、計畫主持人、財務人員</x:v>
      </x:c>
      <x:c r="G396" s="37" t="str">
        <x:v>現行作法對「監測公開與邀標來源並分類需求」多靠人工彙整、個人經驗或事後處理，難以一致追蹤，造成決策延遲與重工。</x:v>
      </x:c>
      <x:c r="H396" s="37" t="str">
        <x:v>資料／事件接入；監測公開與邀標來源並分類需求；證據與信心呈現；例外分流與人工覆核；擴大 B2B 機會成效追蹤；完整稽核軌跡</x:v>
      </x:c>
      <x:c r="I396" s="37" t="str">
        <x:v>預測與情境模擬；多目標最佳化；不確定性呈現；專門模型焦點：監測公開與邀標來源並分類需求</x:v>
      </x:c>
      <x:c r="J396" s="37" t="str">
        <x:v>定期掃描資料與外部訊號，提出優先序與建議；經核准後同步任務與更新來源系統</x:v>
      </x:c>
      <x:c r="K396" s="37" t="str">
        <x:v>L3 可執行／關鍵核准</x:v>
      </x:c>
      <x:c r="L396" s="37" t="str">
        <x:v>標案公告、資格、公司實績、證照、成本、工作分解、補助辦法與里程碑</x:v>
      </x:c>
      <x:c r="M396" s="37" t="str">
        <x:v>CRM、DMS、ERP、專案管理、政府採購與補助資料源</x:v>
      </x:c>
      <x:c r="N396" s="37" t="str">
        <x:v>企業需快速判斷哪些案值得投、能否符合資格，並在期限內交出一致文件。Demo：匯入一組去識別資料，觸發「監測公開與邀標來源並分類需求」，由系統提出證據、建議與下一步；使用者核准後回寫任務，最後呈現「擴大 B2B 機會」前後差異。</x:v>
      </x:c>
      <x:c r="O396" s="37" t="str">
        <x:v>低</x:v>
      </x:c>
      <x:c r="P396" s="37" t="str">
        <x:v>鄰近既有能力：原有業務可能管理商機；本群聚焦外部機會監測、資格論證、文件組裝與履約證據。本 App 的獨立邊界是「監測公開與邀標來源並分類需求」，主要產出為「擴大 B2B 機會」，不是一般登錄、查詢或看板。</x:v>
      </x:c>
      <x:c r="Q396" s="38" t="n">
        <x:v>4</x:v>
      </x:c>
      <x:c r="R396" s="38" t="n">
        <x:v>3</x:v>
      </x:c>
      <x:c r="S396" s="38" t="str">
        <x:v>P1</x:v>
      </x:c>
      <x:c r="T396" s="38" t="n">
        <x:v>7</x:v>
      </x:c>
      <x:c r="U396" s="39" t="str">
        <x:v>Wave 2 高價值套件</x:v>
      </x:c>
    </x:row>
    <x:row r="397" ht="86" customHeight="1">
      <x:c r="A397" s="36" t="str">
        <x:v>JV-393</x:v>
      </x:c>
      <x:c r="B397" s="37" t="str">
        <x:v>政府補助適配器</x:v>
      </x:c>
      <x:c r="C397" s="37" t="str">
        <x:v>政府標案／補助</x:v>
      </x:c>
      <x:c r="D397" s="37" t="str">
        <x:v>機會雷達</x:v>
      </x:c>
      <x:c r="E397" s="37" t="str">
        <x:v>業務、策略、研發、財務、法務</x:v>
      </x:c>
      <x:c r="F397" s="37" t="str">
        <x:v>標案經理、業務主管、計畫主持人、財務人員</x:v>
      </x:c>
      <x:c r="G397" s="37" t="str">
        <x:v>現行作法對「把公司條件與補助資格、主題、支出比對」多靠人工彙整、個人經驗或事後處理，難以一致追蹤，造成決策延遲與重工。</x:v>
      </x:c>
      <x:c r="H397" s="37" t="str">
        <x:v>資料／事件接入；把公司條件與補助資格、主題、支出比對；證據與信心呈現；例外分流與人工覆核；提高命中成效追蹤；完整稽核軌跡</x:v>
      </x:c>
      <x:c r="I397" s="37" t="str">
        <x:v>跨文件／跨系統比對；圖譜推理；差異與缺口生成；專門模型焦點：把公司條件與補助資格、主題、支出比對</x:v>
      </x:c>
      <x:c r="J397" s="37" t="str">
        <x:v>以人機協作模式先產生草案與證據包，接受修改後執行核准步驟並建立完整稽核軌跡</x:v>
      </x:c>
      <x:c r="K397" s="37" t="str">
        <x:v>L3 可執行／關鍵核准</x:v>
      </x:c>
      <x:c r="L397" s="37" t="str">
        <x:v>標案公告、資格、公司實績、證照、成本、工作分解、補助辦法與里程碑</x:v>
      </x:c>
      <x:c r="M397" s="37" t="str">
        <x:v>CRM、DMS、ERP、專案管理、政府採購與補助資料源</x:v>
      </x:c>
      <x:c r="N397" s="37" t="str">
        <x:v>企業需快速判斷哪些案值得投、能否符合資格，並在期限內交出一致文件。Demo：匯入一組去識別資料，觸發「把公司條件與補助資格、主題、支出比對」，由系統提出證據、建議與下一步；使用者核准後回寫任務，最後呈現「提高命中」前後差異。</x:v>
      </x:c>
      <x:c r="O397" s="37" t="str">
        <x:v>低</x:v>
      </x:c>
      <x:c r="P397" s="37" t="str">
        <x:v>鄰近既有能力：原有業務可能管理商機；本群聚焦外部機會監測、資格論證、文件組裝與履約證據。本 App 的獨立邊界是「把公司條件與補助資格、主題、支出比對」，主要產出為「提高命中」，不是一般登錄、查詢或看板。</x:v>
      </x:c>
      <x:c r="Q397" s="38" t="n">
        <x:v>4</x:v>
      </x:c>
      <x:c r="R397" s="38" t="n">
        <x:v>3</x:v>
      </x:c>
      <x:c r="S397" s="38" t="str">
        <x:v>P1</x:v>
      </x:c>
      <x:c r="T397" s="38" t="n">
        <x:v>7</x:v>
      </x:c>
      <x:c r="U397" s="39" t="str">
        <x:v>Wave 2 高價值套件</x:v>
      </x:c>
    </x:row>
    <x:row r="398" ht="86" customHeight="1">
      <x:c r="A398" s="36" t="str">
        <x:v>JV-394</x:v>
      </x:c>
      <x:c r="B398" s="37" t="str">
        <x:v>聯合投標夥伴媒合器</x:v>
      </x:c>
      <x:c r="C398" s="37" t="str">
        <x:v>政府標案／補助</x:v>
      </x:c>
      <x:c r="D398" s="37" t="str">
        <x:v>機會雷達</x:v>
      </x:c>
      <x:c r="E398" s="37" t="str">
        <x:v>業務、策略、研發、財務、法務</x:v>
      </x:c>
      <x:c r="F398" s="37" t="str">
        <x:v>標案經理、業務主管、計畫主持人、財務人員</x:v>
      </x:c>
      <x:c r="G398" s="37" t="str">
        <x:v>現行作法對「依資格缺口、實績與利益衝突找夥伴」多靠人工彙整、個人經驗或事後處理，難以一致追蹤，造成決策延遲與重工。</x:v>
      </x:c>
      <x:c r="H398" s="37" t="str">
        <x:v>資料／事件接入；依資格缺口、實績與利益衝突找夥伴；證據與信心呈現；例外分流與人工覆核；組成可投團隊成效追蹤；完整稽核軌跡</x:v>
      </x:c>
      <x:c r="I398" s="37" t="str">
        <x:v>異常偵測；因果線索分析；可解釋的建議排序；專門模型焦點：依資格缺口、實績與利益衝突找夥伴</x:v>
      </x:c>
      <x:c r="J398" s="37" t="str">
        <x:v>依目標自主規劃步驟、呼叫核准工具、遇到例外改走人工佇列，完成後驗證結果並回報</x:v>
      </x:c>
      <x:c r="K398" s="37" t="str">
        <x:v>L3 可執行／關鍵核准</x:v>
      </x:c>
      <x:c r="L398" s="37" t="str">
        <x:v>標案公告、資格、公司實績、證照、成本、工作分解、補助辦法與里程碑</x:v>
      </x:c>
      <x:c r="M398" s="37" t="str">
        <x:v>CRM、DMS、ERP、專案管理、政府採購與補助資料源</x:v>
      </x:c>
      <x:c r="N398" s="37" t="str">
        <x:v>企業需快速判斷哪些案值得投、能否符合資格，並在期限內交出一致文件。Demo：匯入一組去識別資料，觸發「依資格缺口、實績與利益衝突找夥伴」，由系統提出證據、建議與下一步；使用者核准後回寫任務，最後呈現「組成可投團隊」前後差異。</x:v>
      </x:c>
      <x:c r="O398" s="37" t="str">
        <x:v>低</x:v>
      </x:c>
      <x:c r="P398" s="37" t="str">
        <x:v>鄰近既有能力：原有業務可能管理商機；本群聚焦外部機會監測、資格論證、文件組裝與履約證據。本 App 的獨立邊界是「依資格缺口、實績與利益衝突找夥伴」，主要產出為「組成可投團隊」，不是一般登錄、查詢或看板。</x:v>
      </x:c>
      <x:c r="Q398" s="38" t="n">
        <x:v>3</x:v>
      </x:c>
      <x:c r="R398" s="38" t="n">
        <x:v>3</x:v>
      </x:c>
      <x:c r="S398" s="38" t="str">
        <x:v>P2</x:v>
      </x:c>
      <x:c r="T398" s="38" t="n">
        <x:v>7</x:v>
      </x:c>
      <x:c r="U398" s="39" t="str">
        <x:v>Wave 3 垂直擴充</x:v>
      </x:c>
    </x:row>
    <x:row r="399" ht="86" customHeight="1">
      <x:c r="A399" s="36" t="str">
        <x:v>JV-395</x:v>
      </x:c>
      <x:c r="B399" s="37" t="str">
        <x:v>機會截止與前置期預警器</x:v>
      </x:c>
      <x:c r="C399" s="37" t="str">
        <x:v>政府標案／補助</x:v>
      </x:c>
      <x:c r="D399" s="37" t="str">
        <x:v>機會雷達</x:v>
      </x:c>
      <x:c r="E399" s="37" t="str">
        <x:v>業務、策略、研發、財務、法務</x:v>
      </x:c>
      <x:c r="F399" s="37" t="str">
        <x:v>標案經理、業務主管、計畫主持人、財務人員</x:v>
      </x:c>
      <x:c r="G399" s="37" t="str">
        <x:v>現行作法對「反推保證金、證明、詢答與簽核最晚日期」多靠人工彙整、個人經驗或事後處理，難以一致追蹤，造成決策延遲與重工。</x:v>
      </x:c>
      <x:c r="H399" s="37" t="str">
        <x:v>資料／事件接入；反推保證金、證明、詢答與簽核最晚日期；證據與信心呈現；例外分流與人工覆核；避免來不及成效追蹤；完整稽核軌跡</x:v>
      </x:c>
      <x:c r="I399" s="37" t="str">
        <x:v>RAG 檢索與來源引用；規則＋模型混合判斷；矛盾檢查；專門模型焦點：反推保證金、證明、詢答與簽核最晚日期</x:v>
      </x:c>
      <x:c r="J399" s="37" t="str">
        <x:v>與多個專業 Agent 協作拆解任務，保留交接證據、逾時升級並在失敗時安全回滾</x:v>
      </x:c>
      <x:c r="K399" s="37" t="str">
        <x:v>L3 可執行／關鍵核准</x:v>
      </x:c>
      <x:c r="L399" s="37" t="str">
        <x:v>標案公告、資格、公司實績、證照、成本、工作分解、補助辦法與里程碑</x:v>
      </x:c>
      <x:c r="M399" s="37" t="str">
        <x:v>CRM、DMS、ERP、專案管理、政府採購與補助資料源</x:v>
      </x:c>
      <x:c r="N399" s="37" t="str">
        <x:v>企業需快速判斷哪些案值得投、能否符合資格，並在期限內交出一致文件。Demo：匯入一組去識別資料，觸發「反推保證金、證明、詢答與簽核最晚日期」，由系統提出證據、建議與下一步；使用者核准後回寫任務，最後呈現「避免來不及」前後差異。</x:v>
      </x:c>
      <x:c r="O399" s="37" t="str">
        <x:v>中低</x:v>
      </x:c>
      <x:c r="P399" s="37" t="str">
        <x:v>鄰近既有能力：原有業務可能管理商機；本群聚焦外部機會監測、資格論證、文件組裝與履約證據。本 App 的獨立邊界是「反推保證金、證明、詢答與簽核最晚日期」，主要產出為「避免來不及」，不是一般登錄、查詢或看板。</x:v>
      </x:c>
      <x:c r="Q399" s="38" t="n">
        <x:v>4</x:v>
      </x:c>
      <x:c r="R399" s="38" t="n">
        <x:v>4</x:v>
      </x:c>
      <x:c r="S399" s="38" t="str">
        <x:v>P1</x:v>
      </x:c>
      <x:c r="T399" s="38" t="n">
        <x:v>9</x:v>
      </x:c>
      <x:c r="U399" s="39" t="str">
        <x:v>Wave 2 高價值套件</x:v>
      </x:c>
    </x:row>
    <x:row r="400" ht="86" customHeight="1">
      <x:c r="A400" s="36" t="str">
        <x:v>JV-396</x:v>
      </x:c>
      <x:c r="B400" s="37" t="str">
        <x:v>標案資格硬門檻檢查器</x:v>
      </x:c>
      <x:c r="C400" s="37" t="str">
        <x:v>政府標案／補助</x:v>
      </x:c>
      <x:c r="D400" s="37" t="str">
        <x:v>Go／No-Go</x:v>
      </x:c>
      <x:c r="E400" s="37" t="str">
        <x:v>業務、策略、研發、財務、法務</x:v>
      </x:c>
      <x:c r="F400" s="37" t="str">
        <x:v>標案經理、業務主管、計畫主持人、財務人員</x:v>
      </x:c>
      <x:c r="G400" s="37" t="str">
        <x:v>現行作法對「逐項驗證證照、實績、財務與地區條件」多靠人工彙整、個人經驗或事後處理，難以一致追蹤，造成決策延遲與重工。</x:v>
      </x:c>
      <x:c r="H400" s="37" t="str">
        <x:v>資料／事件接入；逐項驗證證照、實績、財務與地區條件；證據與信心呈現；例外分流與人工覆核；快速排除不可投案成效追蹤；完整稽核軌跡</x:v>
      </x:c>
      <x:c r="I400" s="37" t="str">
        <x:v>語意分類與實體抽取；風險／信心評分；具證據的生成與摘要；專門模型焦點：逐項驗證證照、實績、財務與地區條件</x:v>
      </x:c>
      <x:c r="J400" s="37" t="str">
        <x:v>持續監測事件，達門檻後建立案件、蒐集證據、指派責任並追蹤結案；高風險動作需人工核准</x:v>
      </x:c>
      <x:c r="K400" s="37" t="str">
        <x:v>L3 可執行／關鍵核准</x:v>
      </x:c>
      <x:c r="L400" s="37" t="str">
        <x:v>標案公告、資格、公司實績、證照、成本、工作分解、補助辦法與里程碑</x:v>
      </x:c>
      <x:c r="M400" s="37" t="str">
        <x:v>CRM、DMS、ERP、專案管理、政府採購與補助資料源</x:v>
      </x:c>
      <x:c r="N400" s="37" t="str">
        <x:v>企業需快速判斷哪些案值得投、能否符合資格，並在期限內交出一致文件。Demo：匯入一組去識別資料，觸發「逐項驗證證照、實績、財務與地區條件」，由系統提出證據、建議與下一步；使用者核准後回寫任務，最後呈現「快速排除不可投案」前後差異。</x:v>
      </x:c>
      <x:c r="O400" s="37" t="str">
        <x:v>中低</x:v>
      </x:c>
      <x:c r="P400" s="37" t="str">
        <x:v>鄰近既有能力：原有業務可能管理商機；本群聚焦外部機會監測、資格論證、文件組裝與履約證據。本 App 的獨立邊界是「逐項驗證證照、實績、財務與地區條件」，主要產出為「快速排除不可投案」，不是一般登錄、查詢或看板。</x:v>
      </x:c>
      <x:c r="Q400" s="38" t="n">
        <x:v>4</x:v>
      </x:c>
      <x:c r="R400" s="38" t="n">
        <x:v>2</x:v>
      </x:c>
      <x:c r="S400" s="38" t="str">
        <x:v>P1</x:v>
      </x:c>
      <x:c r="T400" s="38" t="n">
        <x:v>5</x:v>
      </x:c>
      <x:c r="U400" s="39" t="str">
        <x:v>Wave 2 高價值套件</x:v>
      </x:c>
    </x:row>
    <x:row r="401" ht="86" customHeight="1">
      <x:c r="A401" s="36" t="str">
        <x:v>JV-397</x:v>
      </x:c>
      <x:c r="B401" s="37" t="str">
        <x:v>得標機率情境評估器</x:v>
      </x:c>
      <x:c r="C401" s="37" t="str">
        <x:v>政府標案／補助</x:v>
      </x:c>
      <x:c r="D401" s="37" t="str">
        <x:v>Go／No-Go</x:v>
      </x:c>
      <x:c r="E401" s="37" t="str">
        <x:v>業務、策略、研發、財務、法務</x:v>
      </x:c>
      <x:c r="F401" s="37" t="str">
        <x:v>標案經理、業務主管、計畫主持人、財務人員</x:v>
      </x:c>
      <x:c r="G401" s="37" t="str">
        <x:v>現行作法對「結合競爭、關係、差異化與資源估算機率」多靠人工彙整、個人經驗或事後處理，難以一致追蹤，造成決策延遲與重工。</x:v>
      </x:c>
      <x:c r="H401" s="37" t="str">
        <x:v>資料／事件接入；結合競爭、關係、差異化與資源估算機率；證據與信心呈現；例外分流與人工覆核；理性決策成效追蹤；完整稽核軌跡</x:v>
      </x:c>
      <x:c r="I401" s="37" t="str">
        <x:v>預測與情境模擬；多目標最佳化；不確定性呈現；專門模型焦點：結合競爭、關係、差異化與資源估算機率</x:v>
      </x:c>
      <x:c r="J401" s="37" t="str">
        <x:v>定期掃描資料與外部訊號，提出優先序與建議；經核准後同步任務與更新來源系統</x:v>
      </x:c>
      <x:c r="K401" s="37" t="str">
        <x:v>L3 可執行／關鍵核准</x:v>
      </x:c>
      <x:c r="L401" s="37" t="str">
        <x:v>標案公告、資格、公司實績、證照、成本、工作分解、補助辦法與里程碑</x:v>
      </x:c>
      <x:c r="M401" s="37" t="str">
        <x:v>CRM、DMS、ERP、專案管理、政府採購與補助資料源</x:v>
      </x:c>
      <x:c r="N401" s="37" t="str">
        <x:v>企業需快速判斷哪些案值得投、能否符合資格，並在期限內交出一致文件。Demo：匯入一組去識別資料，觸發「結合競爭、關係、差異化與資源估算機率」，由系統提出證據、建議與下一步；使用者核准後回寫任務，最後呈現「理性決策」前後差異。</x:v>
      </x:c>
      <x:c r="O401" s="37" t="str">
        <x:v>低</x:v>
      </x:c>
      <x:c r="P401" s="37" t="str">
        <x:v>鄰近既有能力：原有業務可能管理商機；本群聚焦外部機會監測、資格論證、文件組裝與履約證據。本 App 的獨立邊界是「結合競爭、關係、差異化與資源估算機率」，主要產出為「理性決策」，不是一般登錄、查詢或看板。</x:v>
      </x:c>
      <x:c r="Q401" s="38" t="n">
        <x:v>4</x:v>
      </x:c>
      <x:c r="R401" s="38" t="n">
        <x:v>3</x:v>
      </x:c>
      <x:c r="S401" s="38" t="str">
        <x:v>P1</x:v>
      </x:c>
      <x:c r="T401" s="38" t="n">
        <x:v>7</x:v>
      </x:c>
      <x:c r="U401" s="39" t="str">
        <x:v>Wave 2 高價值套件</x:v>
      </x:c>
    </x:row>
    <x:row r="402" ht="86" customHeight="1">
      <x:c r="A402" s="36" t="str">
        <x:v>JV-398</x:v>
      </x:c>
      <x:c r="B402" s="37" t="str">
        <x:v>標案資源衝突分析器</x:v>
      </x:c>
      <x:c r="C402" s="37" t="str">
        <x:v>政府標案／補助</x:v>
      </x:c>
      <x:c r="D402" s="37" t="str">
        <x:v>Go／No-Go</x:v>
      </x:c>
      <x:c r="E402" s="37" t="str">
        <x:v>業務、策略、研發、財務、法務</x:v>
      </x:c>
      <x:c r="F402" s="37" t="str">
        <x:v>標案經理、業務主管、計畫主持人、財務人員</x:v>
      </x:c>
      <x:c r="G402" s="37" t="str">
        <x:v>現行作法對「檢查關鍵人、交付與保證額度是否撞期」多靠人工彙整、個人經驗或事後處理，難以一致追蹤，造成決策延遲與重工。</x:v>
      </x:c>
      <x:c r="H402" s="37" t="str">
        <x:v>資料／事件接入；檢查關鍵人、交付與保證額度是否撞期；證據與信心呈現；例外分流與人工覆核；避免過度承諾成效追蹤；完整稽核軌跡</x:v>
      </x:c>
      <x:c r="I402" s="37" t="str">
        <x:v>跨文件／跨系統比對；圖譜推理；差異與缺口生成；專門模型焦點：檢查關鍵人、交付與保證額度是否撞期</x:v>
      </x:c>
      <x:c r="J402" s="37" t="str">
        <x:v>以人機協作模式先產生草案與證據包，接受修改後執行核准步驟並建立完整稽核軌跡</x:v>
      </x:c>
      <x:c r="K402" s="37" t="str">
        <x:v>L3 可執行／關鍵核准</x:v>
      </x:c>
      <x:c r="L402" s="37" t="str">
        <x:v>標案公告、資格、公司實績、證照、成本、工作分解、補助辦法與里程碑</x:v>
      </x:c>
      <x:c r="M402" s="37" t="str">
        <x:v>CRM、DMS、ERP、專案管理、政府採購與補助資料源</x:v>
      </x:c>
      <x:c r="N402" s="37" t="str">
        <x:v>企業需快速判斷哪些案值得投、能否符合資格，並在期限內交出一致文件。Demo：匯入一組去識別資料，觸發「檢查關鍵人、交付與保證額度是否撞期」，由系統提出證據、建議與下一步；使用者核准後回寫任務，最後呈現「避免過度承諾」前後差異。</x:v>
      </x:c>
      <x:c r="O402" s="37" t="str">
        <x:v>低</x:v>
      </x:c>
      <x:c r="P402" s="37" t="str">
        <x:v>鄰近既有能力：原有業務可能管理商機；本群聚焦外部機會監測、資格論證、文件組裝與履約證據。本 App 的獨立邊界是「檢查關鍵人、交付與保證額度是否撞期」，主要產出為「避免過度承諾」，不是一般登錄、查詢或看板。</x:v>
      </x:c>
      <x:c r="Q402" s="38" t="n">
        <x:v>4</x:v>
      </x:c>
      <x:c r="R402" s="38" t="n">
        <x:v>3</x:v>
      </x:c>
      <x:c r="S402" s="38" t="str">
        <x:v>P1</x:v>
      </x:c>
      <x:c r="T402" s="38" t="n">
        <x:v>7</x:v>
      </x:c>
      <x:c r="U402" s="39" t="str">
        <x:v>Wave 2 高價值套件</x:v>
      </x:c>
    </x:row>
    <x:row r="403" ht="86" customHeight="1">
      <x:c r="A403" s="36" t="str">
        <x:v>JV-399</x:v>
      </x:c>
      <x:c r="B403" s="37" t="str">
        <x:v>補助投入產出評估器</x:v>
      </x:c>
      <x:c r="C403" s="37" t="str">
        <x:v>政府標案／補助</x:v>
      </x:c>
      <x:c r="D403" s="37" t="str">
        <x:v>Go／No-Go</x:v>
      </x:c>
      <x:c r="E403" s="37" t="str">
        <x:v>業務、策略、研發、財務、法務</x:v>
      </x:c>
      <x:c r="F403" s="37" t="str">
        <x:v>標案經理、業務主管、計畫主持人、財務人員</x:v>
      </x:c>
      <x:c r="G403" s="37" t="str">
        <x:v>現行作法對「比較自籌、核銷成本、技術價值與成功率」多靠人工彙整、個人經驗或事後處理，難以一致追蹤，造成決策延遲與重工。</x:v>
      </x:c>
      <x:c r="H403" s="37" t="str">
        <x:v>資料／事件接入；比較自籌、核銷成本、技術價值與成功率；證據與信心呈現；例外分流與人工覆核；挑選值得申請案成效追蹤；完整稽核軌跡</x:v>
      </x:c>
      <x:c r="I403" s="37" t="str">
        <x:v>異常偵測；因果線索分析；可解釋的建議排序；專門模型焦點：比較自籌、核銷成本、技術價值與成功率</x:v>
      </x:c>
      <x:c r="J403" s="37" t="str">
        <x:v>依目標自主規劃步驟、呼叫核准工具、遇到例外改走人工佇列，完成後驗證結果並回報</x:v>
      </x:c>
      <x:c r="K403" s="37" t="str">
        <x:v>L3 可執行／關鍵核准</x:v>
      </x:c>
      <x:c r="L403" s="37" t="str">
        <x:v>標案公告、資格、公司實績、證照、成本、工作分解、補助辦法與里程碑</x:v>
      </x:c>
      <x:c r="M403" s="37" t="str">
        <x:v>CRM、DMS、ERP、專案管理、政府採購與補助資料源</x:v>
      </x:c>
      <x:c r="N403" s="37" t="str">
        <x:v>企業需快速判斷哪些案值得投、能否符合資格，並在期限內交出一致文件。Demo：匯入一組去識別資料，觸發「比較自籌、核銷成本、技術價值與成功率」，由系統提出證據、建議與下一步；使用者核准後回寫任務，最後呈現「挑選值得申請案」前後差異。</x:v>
      </x:c>
      <x:c r="O403" s="37" t="str">
        <x:v>低</x:v>
      </x:c>
      <x:c r="P403" s="37" t="str">
        <x:v>鄰近既有能力：原有業務可能管理商機；本群聚焦外部機會監測、資格論證、文件組裝與履約證據。本 App 的獨立邊界是「比較自籌、核銷成本、技術價值與成功率」，主要產出為「挑選值得申請案」，不是一般登錄、查詢或看板。</x:v>
      </x:c>
      <x:c r="Q403" s="38" t="n">
        <x:v>4</x:v>
      </x:c>
      <x:c r="R403" s="38" t="n">
        <x:v>3</x:v>
      </x:c>
      <x:c r="S403" s="38" t="str">
        <x:v>P1</x:v>
      </x:c>
      <x:c r="T403" s="38" t="n">
        <x:v>7</x:v>
      </x:c>
      <x:c r="U403" s="39" t="str">
        <x:v>Wave 2 高價值套件</x:v>
      </x:c>
    </x:row>
    <x:row r="404" ht="86" customHeight="1">
      <x:c r="A404" s="36" t="str">
        <x:v>JV-400</x:v>
      </x:c>
      <x:c r="B404" s="37" t="str">
        <x:v>投標風險挑戰 Agent</x:v>
      </x:c>
      <x:c r="C404" s="37" t="str">
        <x:v>政府標案／補助</x:v>
      </x:c>
      <x:c r="D404" s="37" t="str">
        <x:v>Go／No-Go</x:v>
      </x:c>
      <x:c r="E404" s="37" t="str">
        <x:v>業務、策略、研發、財務、法務</x:v>
      </x:c>
      <x:c r="F404" s="37" t="str">
        <x:v>標案經理、業務主管、計畫主持人、財務人員</x:v>
      </x:c>
      <x:c r="G404" s="37" t="str">
        <x:v>現行作法對「以評審與法務視角挑戰假設及缺口」多靠人工彙整、個人經驗或事後處理，難以一致追蹤，造成決策延遲與重工。</x:v>
      </x:c>
      <x:c r="H404" s="37" t="str">
        <x:v>資料／事件接入；以評審與法務視角挑戰假設及缺口；證據與信心呈現；例外分流與人工覆核；提升決策品質成效追蹤；完整稽核軌跡</x:v>
      </x:c>
      <x:c r="I404" s="37" t="str">
        <x:v>RAG 檢索與來源引用；規則＋模型混合判斷；矛盾檢查；專門模型焦點：以評審與法務視角挑戰假設及缺口</x:v>
      </x:c>
      <x:c r="J404" s="37" t="str">
        <x:v>與多個專業 Agent 協作拆解任務，保留交接證據、逾時升級並在失敗時安全回滾</x:v>
      </x:c>
      <x:c r="K404" s="37" t="str">
        <x:v>L3 可執行／關鍵核准</x:v>
      </x:c>
      <x:c r="L404" s="37" t="str">
        <x:v>標案公告、資格、公司實績、證照、成本、工作分解、補助辦法與里程碑</x:v>
      </x:c>
      <x:c r="M404" s="37" t="str">
        <x:v>CRM、DMS、ERP、專案管理、政府採購與補助資料源</x:v>
      </x:c>
      <x:c r="N404" s="37" t="str">
        <x:v>企業需快速判斷哪些案值得投、能否符合資格，並在期限內交出一致文件。Demo：匯入一組去識別資料，觸發「以評審與法務視角挑戰假設及缺口」，由系統提出證據、建議與下一步；使用者核准後回寫任務，最後呈現「提升決策品質」前後差異。</x:v>
      </x:c>
      <x:c r="O404" s="37" t="str">
        <x:v>中低</x:v>
      </x:c>
      <x:c r="P404" s="37" t="str">
        <x:v>鄰近既有能力：原有業務可能管理商機；本群聚焦外部機會監測、資格論證、文件組裝與履約證據。本 App 的獨立邊界是「以評審與法務視角挑戰假設及缺口」，主要產出為「提升決策品質」，不是一般登錄、查詢或看板。</x:v>
      </x:c>
      <x:c r="Q404" s="38" t="n">
        <x:v>3</x:v>
      </x:c>
      <x:c r="R404" s="38" t="n">
        <x:v>4</x:v>
      </x:c>
      <x:c r="S404" s="38" t="str">
        <x:v>P2</x:v>
      </x:c>
      <x:c r="T404" s="38" t="n">
        <x:v>9</x:v>
      </x:c>
      <x:c r="U404" s="39" t="str">
        <x:v>Wave 3 垂直擴充</x:v>
      </x:c>
    </x:row>
    <x:row r="405" ht="86" customHeight="1">
      <x:c r="A405" s="36" t="str">
        <x:v>JV-401</x:v>
      </x:c>
      <x:c r="B405" s="37" t="str">
        <x:v>RFP Compliance Matrix 產生器</x:v>
      </x:c>
      <x:c r="C405" s="37" t="str">
        <x:v>政府標案／補助</x:v>
      </x:c>
      <x:c r="D405" s="37" t="str">
        <x:v>文件生成</x:v>
      </x:c>
      <x:c r="E405" s="37" t="str">
        <x:v>業務、策略、研發、財務、法務</x:v>
      </x:c>
      <x:c r="F405" s="37" t="str">
        <x:v>標案經理、業務主管、計畫主持人、財務人員</x:v>
      </x:c>
      <x:c r="G405" s="37" t="str">
        <x:v>現行作法對「把每項要求映射回覆、證據、責任與頁碼」多靠人工彙整、個人經驗或事後處理，難以一致追蹤，造成決策延遲與重工。</x:v>
      </x:c>
      <x:c r="H405" s="37" t="str">
        <x:v>資料／事件接入；把每項要求映射回覆、證據、責任與頁碼；證據與信心呈現；例外分流與人工覆核；確保零遺漏成效追蹤；完整稽核軌跡</x:v>
      </x:c>
      <x:c r="I405" s="37" t="str">
        <x:v>語意分類與實體抽取；風險／信心評分；具證據的生成與摘要；專門模型焦點：把每項要求映射回覆、證據、責任與頁碼</x:v>
      </x:c>
      <x:c r="J405" s="37" t="str">
        <x:v>持續監測事件，達門檻後建立案件、蒐集證據、指派責任並追蹤結案；高風險動作需人工核准</x:v>
      </x:c>
      <x:c r="K405" s="37" t="str">
        <x:v>L3 可執行／關鍵核准</x:v>
      </x:c>
      <x:c r="L405" s="37" t="str">
        <x:v>標案公告、資格、公司實績、證照、成本、工作分解、補助辦法與里程碑</x:v>
      </x:c>
      <x:c r="M405" s="37" t="str">
        <x:v>CRM、DMS、ERP、專案管理、政府採購與補助資料源</x:v>
      </x:c>
      <x:c r="N405" s="37" t="str">
        <x:v>企業需快速判斷哪些案值得投、能否符合資格，並在期限內交出一致文件。Demo：匯入一組去識別資料，觸發「把每項要求映射回覆、證據、責任與頁碼」，由系統提出證據、建議與下一步；使用者核准後回寫任務，最後呈現「確保零遺漏」前後差異。</x:v>
      </x:c>
      <x:c r="O405" s="37" t="str">
        <x:v>中低</x:v>
      </x:c>
      <x:c r="P405" s="37" t="str">
        <x:v>鄰近既有能力：原有業務可能管理商機；本群聚焦外部機會監測、資格論證、文件組裝與履約證據。本 App 的獨立邊界是「把每項要求映射回覆、證據、責任與頁碼」，主要產出為「確保零遺漏」，不是一般登錄、查詢或看板。</x:v>
      </x:c>
      <x:c r="Q405" s="38" t="n">
        <x:v>4</x:v>
      </x:c>
      <x:c r="R405" s="38" t="n">
        <x:v>2</x:v>
      </x:c>
      <x:c r="S405" s="38" t="str">
        <x:v>P1</x:v>
      </x:c>
      <x:c r="T405" s="38" t="n">
        <x:v>5</x:v>
      </x:c>
      <x:c r="U405" s="39" t="str">
        <x:v>Wave 2 高價值套件</x:v>
      </x:c>
    </x:row>
    <x:row r="406" ht="86" customHeight="1">
      <x:c r="A406" s="36" t="str">
        <x:v>JV-402</x:v>
      </x:c>
      <x:c r="B406" s="37" t="str">
        <x:v>標書模組化組裝 Agent</x:v>
      </x:c>
      <x:c r="C406" s="37" t="str">
        <x:v>政府標案／補助</x:v>
      </x:c>
      <x:c r="D406" s="37" t="str">
        <x:v>文件生成</x:v>
      </x:c>
      <x:c r="E406" s="37" t="str">
        <x:v>業務、策略、研發、財務、法務</x:v>
      </x:c>
      <x:c r="F406" s="37" t="str">
        <x:v>標案經理、業務主管、計畫主持人、財務人員</x:v>
      </x:c>
      <x:c r="G406" s="37" t="str">
        <x:v>現行作法對「從核准素材組合技術、商務與實績章節」多靠人工彙整、個人經驗或事後處理，難以一致追蹤，造成決策延遲與重工。</x:v>
      </x:c>
      <x:c r="H406" s="37" t="str">
        <x:v>資料／事件接入；從核准素材組合技術、商務與實績章節；證據與信心呈現；例外分流與人工覆核；縮短製作成效追蹤；完整稽核軌跡</x:v>
      </x:c>
      <x:c r="I406" s="37" t="str">
        <x:v>預測與情境模擬；多目標最佳化；不確定性呈現；專門模型焦點：從核准素材組合技術、商務與實績章節</x:v>
      </x:c>
      <x:c r="J406" s="37" t="str">
        <x:v>定期掃描資料與外部訊號，提出優先序與建議；經核准後同步任務與更新來源系統</x:v>
      </x:c>
      <x:c r="K406" s="37" t="str">
        <x:v>L3 可執行／關鍵核准</x:v>
      </x:c>
      <x:c r="L406" s="37" t="str">
        <x:v>標案公告、資格、公司實績、證照、成本、工作分解、補助辦法與里程碑</x:v>
      </x:c>
      <x:c r="M406" s="37" t="str">
        <x:v>CRM、DMS、ERP、專案管理、政府採購與補助資料源</x:v>
      </x:c>
      <x:c r="N406" s="37" t="str">
        <x:v>企業需快速判斷哪些案值得投、能否符合資格，並在期限內交出一致文件。Demo：匯入一組去識別資料，觸發「從核准素材組合技術、商務與實績章節」，由系統提出證據、建議與下一步；使用者核准後回寫任務，最後呈現「縮短製作」前後差異。</x:v>
      </x:c>
      <x:c r="O406" s="37" t="str">
        <x:v>低</x:v>
      </x:c>
      <x:c r="P406" s="37" t="str">
        <x:v>鄰近既有能力：原有業務可能管理商機；本群聚焦外部機會監測、資格論證、文件組裝與履約證據。本 App 的獨立邊界是「從核准素材組合技術、商務與實績章節」，主要產出為「縮短製作」，不是一般登錄、查詢或看板。</x:v>
      </x:c>
      <x:c r="Q406" s="38" t="n">
        <x:v>4</x:v>
      </x:c>
      <x:c r="R406" s="38" t="n">
        <x:v>3</x:v>
      </x:c>
      <x:c r="S406" s="38" t="str">
        <x:v>P1</x:v>
      </x:c>
      <x:c r="T406" s="38" t="n">
        <x:v>7</x:v>
      </x:c>
      <x:c r="U406" s="39" t="str">
        <x:v>Wave 2 高價值套件</x:v>
      </x:c>
    </x:row>
    <x:row r="407" ht="86" customHeight="1">
      <x:c r="A407" s="36" t="str">
        <x:v>JV-403</x:v>
      </x:c>
      <x:c r="B407" s="37" t="str">
        <x:v>補助計畫邏輯模型助手</x:v>
      </x:c>
      <x:c r="C407" s="37" t="str">
        <x:v>政府標案／補助</x:v>
      </x:c>
      <x:c r="D407" s="37" t="str">
        <x:v>文件生成</x:v>
      </x:c>
      <x:c r="E407" s="37" t="str">
        <x:v>業務、策略、研發、財務、法務</x:v>
      </x:c>
      <x:c r="F407" s="37" t="str">
        <x:v>標案經理、業務主管、計畫主持人、財務人員</x:v>
      </x:c>
      <x:c r="G407" s="37" t="str">
        <x:v>現行作法對「將問題、活動、產出、成果與指標串連」多靠人工彙整、個人經驗或事後處理，難以一致追蹤，造成決策延遲與重工。</x:v>
      </x:c>
      <x:c r="H407" s="37" t="str">
        <x:v>資料／事件接入；將問題、活動、產出、成果與指標串連；證據與信心呈現；例外分流與人工覆核；提高計畫一致性成效追蹤；完整稽核軌跡</x:v>
      </x:c>
      <x:c r="I407" s="37" t="str">
        <x:v>跨文件／跨系統比對；圖譜推理；差異與缺口生成；專門模型焦點：將問題、活動、產出、成果與指標串連</x:v>
      </x:c>
      <x:c r="J407" s="37" t="str">
        <x:v>以人機協作模式先產生草案與證據包，接受修改後執行核准步驟並建立完整稽核軌跡</x:v>
      </x:c>
      <x:c r="K407" s="37" t="str">
        <x:v>L3 可執行／關鍵核准</x:v>
      </x:c>
      <x:c r="L407" s="37" t="str">
        <x:v>標案公告、資格、公司實績、證照、成本、工作分解、補助辦法與里程碑</x:v>
      </x:c>
      <x:c r="M407" s="37" t="str">
        <x:v>CRM、DMS、ERP、專案管理、政府採購與補助資料源</x:v>
      </x:c>
      <x:c r="N407" s="37" t="str">
        <x:v>企業需快速判斷哪些案值得投、能否符合資格，並在期限內交出一致文件。Demo：匯入一組去識別資料，觸發「將問題、活動、產出、成果與指標串連」，由系統提出證據、建議與下一步；使用者核准後回寫任務，最後呈現「提高計畫一致性」前後差異。</x:v>
      </x:c>
      <x:c r="O407" s="37" t="str">
        <x:v>低</x:v>
      </x:c>
      <x:c r="P407" s="37" t="str">
        <x:v>鄰近既有能力：原有業務可能管理商機；本群聚焦外部機會監測、資格論證、文件組裝與履約證據。本 App 的獨立邊界是「將問題、活動、產出、成果與指標串連」，主要產出為「提高計畫一致性」，不是一般登錄、查詢或看板。</x:v>
      </x:c>
      <x:c r="Q407" s="38" t="n">
        <x:v>4</x:v>
      </x:c>
      <x:c r="R407" s="38" t="n">
        <x:v>3</x:v>
      </x:c>
      <x:c r="S407" s="38" t="str">
        <x:v>P1</x:v>
      </x:c>
      <x:c r="T407" s="38" t="n">
        <x:v>7</x:v>
      </x:c>
      <x:c r="U407" s="39" t="str">
        <x:v>Wave 2 高價值套件</x:v>
      </x:c>
    </x:row>
    <x:row r="408" ht="86" customHeight="1">
      <x:c r="A408" s="36" t="str">
        <x:v>JV-404</x:v>
      </x:c>
      <x:c r="B408" s="37" t="str">
        <x:v>標案數字一致性稽核員</x:v>
      </x:c>
      <x:c r="C408" s="37" t="str">
        <x:v>政府標案／補助</x:v>
      </x:c>
      <x:c r="D408" s="37" t="str">
        <x:v>文件生成</x:v>
      </x:c>
      <x:c r="E408" s="37" t="str">
        <x:v>業務、策略、研發、財務、法務</x:v>
      </x:c>
      <x:c r="F408" s="37" t="str">
        <x:v>標案經理、業務主管、計畫主持人、財務人員</x:v>
      </x:c>
      <x:c r="G408" s="37" t="str">
        <x:v>現行作法對「跨標書、報價、時程與人力表核對數字」多靠人工彙整、個人經驗或事後處理，難以一致追蹤，造成決策延遲與重工。</x:v>
      </x:c>
      <x:c r="H408" s="37" t="str">
        <x:v>資料／事件接入；跨標書、報價、時程與人力表核對數字；證據與信心呈現；例外分流與人工覆核；避免矛盾成效追蹤；完整稽核軌跡</x:v>
      </x:c>
      <x:c r="I408" s="37" t="str">
        <x:v>異常偵測；因果線索分析；可解釋的建議排序；專門模型焦點：跨標書、報價、時程與人力表核對數字</x:v>
      </x:c>
      <x:c r="J408" s="37" t="str">
        <x:v>依目標自主規劃步驟、呼叫核准工具、遇到例外改走人工佇列，完成後驗證結果並回報</x:v>
      </x:c>
      <x:c r="K408" s="37" t="str">
        <x:v>L3 可執行／關鍵核准</x:v>
      </x:c>
      <x:c r="L408" s="37" t="str">
        <x:v>標案公告、資格、公司實績、證照、成本、工作分解、補助辦法與里程碑</x:v>
      </x:c>
      <x:c r="M408" s="37" t="str">
        <x:v>CRM、DMS、ERP、專案管理、政府採購與補助資料源</x:v>
      </x:c>
      <x:c r="N408" s="37" t="str">
        <x:v>企業需快速判斷哪些案值得投、能否符合資格，並在期限內交出一致文件。Demo：匯入一組去識別資料，觸發「跨標書、報價、時程與人力表核對數字」，由系統提出證據、建議與下一步；使用者核准後回寫任務，最後呈現「避免矛盾」前後差異。</x:v>
      </x:c>
      <x:c r="O408" s="37" t="str">
        <x:v>低</x:v>
      </x:c>
      <x:c r="P408" s="37" t="str">
        <x:v>鄰近既有能力：原有業務可能管理商機；本群聚焦外部機會監測、資格論證、文件組裝與履約證據。本 App 的獨立邊界是「跨標書、報價、時程與人力表核對數字」，主要產出為「避免矛盾」，不是一般登錄、查詢或看板。</x:v>
      </x:c>
      <x:c r="Q408" s="38" t="n">
        <x:v>4</x:v>
      </x:c>
      <x:c r="R408" s="38" t="n">
        <x:v>3</x:v>
      </x:c>
      <x:c r="S408" s="38" t="str">
        <x:v>P1</x:v>
      </x:c>
      <x:c r="T408" s="38" t="n">
        <x:v>7</x:v>
      </x:c>
      <x:c r="U408" s="39" t="str">
        <x:v>Wave 2 高價值套件</x:v>
      </x:c>
    </x:row>
    <x:row r="409" ht="86" customHeight="1">
      <x:c r="A409" s="36" t="str">
        <x:v>JV-405</x:v>
      </x:c>
      <x:c r="B409" s="37" t="str">
        <x:v>匿名評選格式守門員</x:v>
      </x:c>
      <x:c r="C409" s="37" t="str">
        <x:v>政府標案／補助</x:v>
      </x:c>
      <x:c r="D409" s="37" t="str">
        <x:v>文件生成</x:v>
      </x:c>
      <x:c r="E409" s="37" t="str">
        <x:v>業務、策略、研發、財務、法務</x:v>
      </x:c>
      <x:c r="F409" s="37" t="str">
        <x:v>標案經理、業務主管、計畫主持人、財務人員</x:v>
      </x:c>
      <x:c r="G409" s="37" t="str">
        <x:v>現行作法對「檢查不得揭露資訊、頁數、字體與檔案規則」多靠人工彙整、個人經驗或事後處理，難以一致追蹤，造成決策延遲與重工。</x:v>
      </x:c>
      <x:c r="H409" s="37" t="str">
        <x:v>資料／事件接入；檢查不得揭露資訊、頁數、字體與檔案規則；證據與信心呈現；例外分流與人工覆核；降低形式退件成效追蹤；完整稽核軌跡</x:v>
      </x:c>
      <x:c r="I409" s="37" t="str">
        <x:v>RAG 檢索與來源引用；規則＋模型混合判斷；矛盾檢查；專門模型焦點：檢查不得揭露資訊、頁數、字體與檔案規則</x:v>
      </x:c>
      <x:c r="J409" s="37" t="str">
        <x:v>與多個專業 Agent 協作拆解任務，保留交接證據、逾時升級並在失敗時安全回滾</x:v>
      </x:c>
      <x:c r="K409" s="37" t="str">
        <x:v>L3 可執行／關鍵核准</x:v>
      </x:c>
      <x:c r="L409" s="37" t="str">
        <x:v>標案公告、資格、公司實績、證照、成本、工作分解、補助辦法與里程碑</x:v>
      </x:c>
      <x:c r="M409" s="37" t="str">
        <x:v>CRM、DMS、ERP、專案管理、政府採購與補助資料源</x:v>
      </x:c>
      <x:c r="N409" s="37" t="str">
        <x:v>企業需快速判斷哪些案值得投、能否符合資格，並在期限內交出一致文件。Demo：匯入一組去識別資料，觸發「檢查不得揭露資訊、頁數、字體與檔案規則」，由系統提出證據、建議與下一步；使用者核准後回寫任務，最後呈現「降低形式退件」前後差異。</x:v>
      </x:c>
      <x:c r="O409" s="37" t="str">
        <x:v>中低</x:v>
      </x:c>
      <x:c r="P409" s="37" t="str">
        <x:v>鄰近既有能力：原有業務可能管理商機；本群聚焦外部機會監測、資格論證、文件組裝與履約證據。本 App 的獨立邊界是「檢查不得揭露資訊、頁數、字體與檔案規則」，主要產出為「降低形式退件」，不是一般登錄、查詢或看板。</x:v>
      </x:c>
      <x:c r="Q409" s="38" t="n">
        <x:v>4</x:v>
      </x:c>
      <x:c r="R409" s="38" t="n">
        <x:v>4</x:v>
      </x:c>
      <x:c r="S409" s="38" t="str">
        <x:v>P1</x:v>
      </x:c>
      <x:c r="T409" s="38" t="n">
        <x:v>9</x:v>
      </x:c>
      <x:c r="U409" s="39" t="str">
        <x:v>Wave 2 高價值套件</x:v>
      </x:c>
    </x:row>
    <x:row r="410" ht="86" customHeight="1">
      <x:c r="A410" s="36" t="str">
        <x:v>JV-406</x:v>
      </x:c>
      <x:c r="B410" s="37" t="str">
        <x:v>標案承諾履約追蹤器</x:v>
      </x:c>
      <x:c r="C410" s="37" t="str">
        <x:v>政府標案／補助</x:v>
      </x:c>
      <x:c r="D410" s="37" t="str">
        <x:v>履約與核銷</x:v>
      </x:c>
      <x:c r="E410" s="37" t="str">
        <x:v>業務、策略、研發、財務、法務</x:v>
      </x:c>
      <x:c r="F410" s="37" t="str">
        <x:v>標案經理、業務主管、計畫主持人、財務人員</x:v>
      </x:c>
      <x:c r="G410" s="37" t="str">
        <x:v>現行作法對「將得標承諾轉成里程碑、證據與驗收條件」多靠人工彙整、個人經驗或事後處理，難以一致追蹤，造成決策延遲與重工。</x:v>
      </x:c>
      <x:c r="H410" s="37" t="str">
        <x:v>資料／事件接入；將得標承諾轉成里程碑、證據與驗收條件；證據與信心呈現；例外分流與人工覆核；避免漏做成效追蹤；完整稽核軌跡</x:v>
      </x:c>
      <x:c r="I410" s="37" t="str">
        <x:v>語意分類與實體抽取；風險／信心評分；具證據的生成與摘要；專門模型焦點：將得標承諾轉成里程碑、證據與驗收條件</x:v>
      </x:c>
      <x:c r="J410" s="37" t="str">
        <x:v>持續監測事件，達門檻後建立案件、蒐集證據、指派責任並追蹤結案；高風險動作需人工核准</x:v>
      </x:c>
      <x:c r="K410" s="37" t="str">
        <x:v>L3 可執行／關鍵核准</x:v>
      </x:c>
      <x:c r="L410" s="37" t="str">
        <x:v>標案公告、資格、公司實績、證照、成本、工作分解、補助辦法與里程碑</x:v>
      </x:c>
      <x:c r="M410" s="37" t="str">
        <x:v>CRM、DMS、ERP、專案管理、政府採購與補助資料源</x:v>
      </x:c>
      <x:c r="N410" s="37" t="str">
        <x:v>企業需快速判斷哪些案值得投、能否符合資格，並在期限內交出一致文件。Demo：匯入一組去識別資料，觸發「將得標承諾轉成里程碑、證據與驗收條件」，由系統提出證據、建議與下一步；使用者核准後回寫任務，最後呈現「避免漏做」前後差異。</x:v>
      </x:c>
      <x:c r="O410" s="37" t="str">
        <x:v>中低</x:v>
      </x:c>
      <x:c r="P410" s="37" t="str">
        <x:v>鄰近既有能力：原有業務可能管理商機；本群聚焦外部機會監測、資格論證、文件組裝與履約證據。本 App 的獨立邊界是「將得標承諾轉成里程碑、證據與驗收條件」，主要產出為「避免漏做」，不是一般登錄、查詢或看板。</x:v>
      </x:c>
      <x:c r="Q410" s="38" t="n">
        <x:v>4</x:v>
      </x:c>
      <x:c r="R410" s="38" t="n">
        <x:v>2</x:v>
      </x:c>
      <x:c r="S410" s="38" t="str">
        <x:v>P1</x:v>
      </x:c>
      <x:c r="T410" s="38" t="n">
        <x:v>5</x:v>
      </x:c>
      <x:c r="U410" s="39" t="str">
        <x:v>Wave 2 高價值套件</x:v>
      </x:c>
    </x:row>
    <x:row r="411" ht="86" customHeight="1">
      <x:c r="A411" s="36" t="str">
        <x:v>JV-407</x:v>
      </x:c>
      <x:c r="B411" s="37" t="str">
        <x:v>補助經費核銷預審器</x:v>
      </x:c>
      <x:c r="C411" s="37" t="str">
        <x:v>政府標案／補助</x:v>
      </x:c>
      <x:c r="D411" s="37" t="str">
        <x:v>履約與核銷</x:v>
      </x:c>
      <x:c r="E411" s="37" t="str">
        <x:v>業務、策略、研發、財務、法務</x:v>
      </x:c>
      <x:c r="F411" s="37" t="str">
        <x:v>標案經理、業務主管、計畫主持人、財務人員</x:v>
      </x:c>
      <x:c r="G411" s="37" t="str">
        <x:v>現行作法對「執行支出資格、期間、科目與憑證檢查」多靠人工彙整、個人經驗或事後處理，難以一致追蹤，造成決策延遲與重工。</x:v>
      </x:c>
      <x:c r="H411" s="37" t="str">
        <x:v>資料／事件接入；執行支出資格、期間、科目與憑證檢查；證據與信心呈現；例外分流與人工覆核；降低剔除成效追蹤；完整稽核軌跡</x:v>
      </x:c>
      <x:c r="I411" s="37" t="str">
        <x:v>預測與情境模擬；多目標最佳化；不確定性呈現；專門模型焦點：執行支出資格、期間、科目與憑證檢查</x:v>
      </x:c>
      <x:c r="J411" s="37" t="str">
        <x:v>定期掃描資料與外部訊號，提出優先序與建議；經核准後同步任務與更新來源系統</x:v>
      </x:c>
      <x:c r="K411" s="37" t="str">
        <x:v>L3 可執行／關鍵核准</x:v>
      </x:c>
      <x:c r="L411" s="37" t="str">
        <x:v>標案公告、資格、公司實績、證照、成本、工作分解、補助辦法與里程碑</x:v>
      </x:c>
      <x:c r="M411" s="37" t="str">
        <x:v>CRM、DMS、ERP、專案管理、政府採購與補助資料源</x:v>
      </x:c>
      <x:c r="N411" s="37" t="str">
        <x:v>企業需快速判斷哪些案值得投、能否符合資格，並在期限內交出一致文件。Demo：匯入一組去識別資料，觸發「執行支出資格、期間、科目與憑證檢查」，由系統提出證據、建議與下一步；使用者核准後回寫任務，最後呈現「降低剔除」前後差異。</x:v>
      </x:c>
      <x:c r="O411" s="37" t="str">
        <x:v>低</x:v>
      </x:c>
      <x:c r="P411" s="37" t="str">
        <x:v>鄰近既有能力：原有業務可能管理商機；本群聚焦外部機會監測、資格論證、文件組裝與履約證據。本 App 的獨立邊界是「執行支出資格、期間、科目與憑證檢查」，主要產出為「降低剔除」，不是一般登錄、查詢或看板。</x:v>
      </x:c>
      <x:c r="Q411" s="38" t="n">
        <x:v>4</x:v>
      </x:c>
      <x:c r="R411" s="38" t="n">
        <x:v>3</x:v>
      </x:c>
      <x:c r="S411" s="38" t="str">
        <x:v>P1</x:v>
      </x:c>
      <x:c r="T411" s="38" t="n">
        <x:v>7</x:v>
      </x:c>
      <x:c r="U411" s="39" t="str">
        <x:v>Wave 2 高價值套件</x:v>
      </x:c>
    </x:row>
    <x:row r="412" ht="86" customHeight="1">
      <x:c r="A412" s="36" t="str">
        <x:v>JV-408</x:v>
      </x:c>
      <x:c r="B412" s="37" t="str">
        <x:v>政府專案變更影響助手</x:v>
      </x:c>
      <x:c r="C412" s="37" t="str">
        <x:v>政府標案／補助</x:v>
      </x:c>
      <x:c r="D412" s="37" t="str">
        <x:v>履約與核銷</x:v>
      </x:c>
      <x:c r="E412" s="37" t="str">
        <x:v>業務、策略、研發、財務、法務</x:v>
      </x:c>
      <x:c r="F412" s="37" t="str">
        <x:v>標案經理、業務主管、計畫主持人、財務人員</x:v>
      </x:c>
      <x:c r="G412" s="37" t="str">
        <x:v>現行作法對「評估範圍、時程、預算與契約變更程序」多靠人工彙整、個人經驗或事後處理，難以一致追蹤，造成決策延遲與重工。</x:v>
      </x:c>
      <x:c r="H412" s="37" t="str">
        <x:v>資料／事件接入；評估範圍、時程、預算與契約變更程序；證據與信心呈現；例外分流與人工覆核；正確變更成效追蹤；完整稽核軌跡</x:v>
      </x:c>
      <x:c r="I412" s="37" t="str">
        <x:v>跨文件／跨系統比對；圖譜推理；差異與缺口生成；專門模型焦點：評估範圍、時程、預算與契約變更程序</x:v>
      </x:c>
      <x:c r="J412" s="37" t="str">
        <x:v>以人機協作模式先產生草案與證據包，接受修改後執行核准步驟並建立完整稽核軌跡</x:v>
      </x:c>
      <x:c r="K412" s="37" t="str">
        <x:v>L3 可執行／關鍵核准</x:v>
      </x:c>
      <x:c r="L412" s="37" t="str">
        <x:v>標案公告、資格、公司實績、證照、成本、工作分解、補助辦法與里程碑</x:v>
      </x:c>
      <x:c r="M412" s="37" t="str">
        <x:v>CRM、DMS、ERP、專案管理、政府採購與補助資料源</x:v>
      </x:c>
      <x:c r="N412" s="37" t="str">
        <x:v>企業需快速判斷哪些案值得投、能否符合資格，並在期限內交出一致文件。Demo：匯入一組去識別資料，觸發「評估範圍、時程、預算與契約變更程序」，由系統提出證據、建議與下一步；使用者核准後回寫任務，最後呈現「正確變更」前後差異。</x:v>
      </x:c>
      <x:c r="O412" s="37" t="str">
        <x:v>低</x:v>
      </x:c>
      <x:c r="P412" s="37" t="str">
        <x:v>鄰近既有能力：原有業務可能管理商機；本群聚焦外部機會監測、資格論證、文件組裝與履約證據。本 App 的獨立邊界是「評估範圍、時程、預算與契約變更程序」，主要產出為「正確變更」，不是一般登錄、查詢或看板。</x:v>
      </x:c>
      <x:c r="Q412" s="38" t="n">
        <x:v>4</x:v>
      </x:c>
      <x:c r="R412" s="38" t="n">
        <x:v>3</x:v>
      </x:c>
      <x:c r="S412" s="38" t="str">
        <x:v>P1</x:v>
      </x:c>
      <x:c r="T412" s="38" t="n">
        <x:v>7</x:v>
      </x:c>
      <x:c r="U412" s="39" t="str">
        <x:v>Wave 2 高價值套件</x:v>
      </x:c>
    </x:row>
    <x:row r="413" ht="86" customHeight="1">
      <x:c r="A413" s="36" t="str">
        <x:v>JV-409</x:v>
      </x:c>
      <x:c r="B413" s="37" t="str">
        <x:v>驗收證據包產生器</x:v>
      </x:c>
      <x:c r="C413" s="37" t="str">
        <x:v>政府標案／補助</x:v>
      </x:c>
      <x:c r="D413" s="37" t="str">
        <x:v>履約與核銷</x:v>
      </x:c>
      <x:c r="E413" s="37" t="str">
        <x:v>業務、策略、研發、財務、法務</x:v>
      </x:c>
      <x:c r="F413" s="37" t="str">
        <x:v>標案經理、業務主管、計畫主持人、財務人員</x:v>
      </x:c>
      <x:c r="G413" s="37" t="str">
        <x:v>現行作法對「依驗收條款彙整測試、交付與簽認資料」多靠人工彙整、個人經驗或事後處理，難以一致追蹤，造成決策延遲與重工。</x:v>
      </x:c>
      <x:c r="H413" s="37" t="str">
        <x:v>資料／事件接入；依驗收條款彙整測試、交付與簽認資料；證據與信心呈現；例外分流與人工覆核；加速驗收成效追蹤；完整稽核軌跡</x:v>
      </x:c>
      <x:c r="I413" s="37" t="str">
        <x:v>異常偵測；因果線索分析；可解釋的建議排序；專門模型焦點：依驗收條款彙整測試、交付與簽認資料</x:v>
      </x:c>
      <x:c r="J413" s="37" t="str">
        <x:v>依目標自主規劃步驟、呼叫核准工具、遇到例外改走人工佇列，完成後驗證結果並回報</x:v>
      </x:c>
      <x:c r="K413" s="37" t="str">
        <x:v>L3 可執行／關鍵核准</x:v>
      </x:c>
      <x:c r="L413" s="37" t="str">
        <x:v>標案公告、資格、公司實績、證照、成本、工作分解、補助辦法與里程碑</x:v>
      </x:c>
      <x:c r="M413" s="37" t="str">
        <x:v>CRM、DMS、ERP、專案管理、政府採購與補助資料源</x:v>
      </x:c>
      <x:c r="N413" s="37" t="str">
        <x:v>企業需快速判斷哪些案值得投、能否符合資格，並在期限內交出一致文件。Demo：匯入一組去識別資料，觸發「依驗收條款彙整測試、交付與簽認資料」，由系統提出證據、建議與下一步；使用者核准後回寫任務，最後呈現「加速驗收」前後差異。</x:v>
      </x:c>
      <x:c r="O413" s="37" t="str">
        <x:v>低</x:v>
      </x:c>
      <x:c r="P413" s="37" t="str">
        <x:v>鄰近既有能力：原有業務可能管理商機；本群聚焦外部機會監測、資格論證、文件組裝與履約證據。本 App 的獨立邊界是「依驗收條款彙整測試、交付與簽認資料」，主要產出為「加速驗收」，不是一般登錄、查詢或看板。</x:v>
      </x:c>
      <x:c r="Q413" s="38" t="n">
        <x:v>4</x:v>
      </x:c>
      <x:c r="R413" s="38" t="n">
        <x:v>3</x:v>
      </x:c>
      <x:c r="S413" s="38" t="str">
        <x:v>P1</x:v>
      </x:c>
      <x:c r="T413" s="38" t="n">
        <x:v>7</x:v>
      </x:c>
      <x:c r="U413" s="39" t="str">
        <x:v>Wave 2 高價值套件</x:v>
      </x:c>
    </x:row>
    <x:row r="414" ht="86" customHeight="1">
      <x:c r="A414" s="36" t="str">
        <x:v>JV-410</x:v>
      </x:c>
      <x:c r="B414" s="37" t="str">
        <x:v>補助成果指標預警器</x:v>
      </x:c>
      <x:c r="C414" s="37" t="str">
        <x:v>政府標案／補助</x:v>
      </x:c>
      <x:c r="D414" s="37" t="str">
        <x:v>履約與核銷</x:v>
      </x:c>
      <x:c r="E414" s="37" t="str">
        <x:v>業務、策略、研發、財務、法務</x:v>
      </x:c>
      <x:c r="F414" s="37" t="str">
        <x:v>標案經理、業務主管、計畫主持人、財務人員</x:v>
      </x:c>
      <x:c r="G414" s="37" t="str">
        <x:v>現行作法對「預測 KPI 未達並提出補救與變更方案」多靠人工彙整、個人經驗或事後處理，難以一致追蹤，造成決策延遲與重工。</x:v>
      </x:c>
      <x:c r="H414" s="37" t="str">
        <x:v>資料／事件接入；預測 KPI 未達並提出補救與變更方案；證據與信心呈現；例外分流與人工覆核；守住結案成效追蹤；完整稽核軌跡</x:v>
      </x:c>
      <x:c r="I414" s="37" t="str">
        <x:v>RAG 檢索與來源引用；規則＋模型混合判斷；矛盾檢查；專門模型焦點：預測 KPI 未達並提出補救與變更方案</x:v>
      </x:c>
      <x:c r="J414" s="37" t="str">
        <x:v>與多個專業 Agent 協作拆解任務，保留交接證據、逾時升級並在失敗時安全回滾</x:v>
      </x:c>
      <x:c r="K414" s="37" t="str">
        <x:v>L3 可執行／關鍵核准</x:v>
      </x:c>
      <x:c r="L414" s="37" t="str">
        <x:v>標案公告、資格、公司實績、證照、成本、工作分解、補助辦法與里程碑</x:v>
      </x:c>
      <x:c r="M414" s="37" t="str">
        <x:v>CRM、DMS、ERP、專案管理、政府採購與補助資料源</x:v>
      </x:c>
      <x:c r="N414" s="37" t="str">
        <x:v>企業需快速判斷哪些案值得投、能否符合資格，並在期限內交出一致文件。Demo：匯入一組去識別資料，觸發「預測 KPI 未達並提出補救與變更方案」，由系統提出證據、建議與下一步；使用者核准後回寫任務，最後呈現「守住結案」前後差異。</x:v>
      </x:c>
      <x:c r="O414" s="37" t="str">
        <x:v>中低</x:v>
      </x:c>
      <x:c r="P414" s="37" t="str">
        <x:v>鄰近既有能力：原有業務可能管理商機；本群聚焦外部機會監測、資格論證、文件組裝與履約證據。本 App 的獨立邊界是「預測 KPI 未達並提出補救與變更方案」，主要產出為「守住結案」，不是一般登錄、查詢或看板。</x:v>
      </x:c>
      <x:c r="Q414" s="38" t="n">
        <x:v>4</x:v>
      </x:c>
      <x:c r="R414" s="38" t="n">
        <x:v>4</x:v>
      </x:c>
      <x:c r="S414" s="38" t="str">
        <x:v>P1</x:v>
      </x:c>
      <x:c r="T414" s="38" t="n">
        <x:v>9</x:v>
      </x:c>
      <x:c r="U414" s="39" t="str">
        <x:v>Wave 2 高價值套件</x:v>
      </x:c>
    </x:row>
    <x:row r="415" ht="86" customHeight="1">
      <x:c r="A415" s="36" t="str">
        <x:v>JV-411</x:v>
      </x:c>
      <x:c r="B415" s="37" t="str">
        <x:v>多銀行即時現金可視器</x:v>
      </x:c>
      <x:c r="C415" s="37" t="str">
        <x:v>Treasury／FinTech</x:v>
      </x:c>
      <x:c r="D415" s="37" t="str">
        <x:v>現金與流動性</x:v>
      </x:c>
      <x:c r="E415" s="37" t="str">
        <x:v>財務、資金、風險、董事會</x:v>
      </x:c>
      <x:c r="F415" s="37" t="str">
        <x:v>財務長、Treasurer、資金人員、風險經理</x:v>
      </x:c>
      <x:c r="G415" s="37" t="str">
        <x:v>現行作法對「標準化餘額、在途與受限資金」多靠人工彙整、個人經驗或事後處理，難以一致追蹤，造成決策延遲與重工。</x:v>
      </x:c>
      <x:c r="H415" s="37" t="str">
        <x:v>資料／事件接入；標準化餘額、在途與受限資金；證據與信心呈現；例外分流與人工覆核；掌握可用現金成效追蹤；完整稽核軌跡</x:v>
      </x:c>
      <x:c r="I415" s="37" t="str">
        <x:v>語意分類與實體抽取；風險／信心評分；具證據的生成與摘要；專門模型焦點：標準化餘額、在途與受限資金</x:v>
      </x:c>
      <x:c r="J415" s="37" t="str">
        <x:v>持續監測事件，達門檻後建立案件、蒐集證據、指派責任並追蹤結案；高風險動作需人工核准</x:v>
      </x:c>
      <x:c r="K415" s="37" t="str">
        <x:v>L3 可執行／關鍵核准</x:v>
      </x:c>
      <x:c r="L415" s="37" t="str">
        <x:v>銀行餘額、現金流、應收應付、融資、外匯、利率、信用與交易對手</x:v>
      </x:c>
      <x:c r="M415" s="37" t="str">
        <x:v>ERP、TMS、銀行 API、CRM、採購、風險資料源</x:v>
      </x:c>
      <x:c r="N415" s="37" t="str">
        <x:v>跨國企業需每天整合多銀行、多幣別現金並做融資、避險與風險決策。Demo：匯入一組去識別資料，觸發「標準化餘額、在途與受限資金」，由系統提出證據、建議與下一步；使用者核准後回寫任務，最後呈現「掌握可用現金」前後差異。</x:v>
      </x:c>
      <x:c r="O415" s="37" t="str">
        <x:v>中低</x:v>
      </x:c>
      <x:c r="P415" s="37" t="str">
        <x:v>鄰近既有能力：原有財務可能有帳務與報表；本群聚焦即時流動性、避險決策與交易對手風險。本 App 的獨立邊界是「標準化餘額、在途與受限資金」，主要產出為「掌握可用現金」，不是一般登錄、查詢或看板。</x:v>
      </x:c>
      <x:c r="Q415" s="38" t="n">
        <x:v>5</x:v>
      </x:c>
      <x:c r="R415" s="38" t="n">
        <x:v>3</x:v>
      </x:c>
      <x:c r="S415" s="38" t="str">
        <x:v>P1</x:v>
      </x:c>
      <x:c r="T415" s="38" t="n">
        <x:v>7</x:v>
      </x:c>
      <x:c r="U415" s="39" t="str">
        <x:v>Wave 2 高價值套件</x:v>
      </x:c>
    </x:row>
    <x:row r="416" ht="86" customHeight="1">
      <x:c r="A416" s="36" t="str">
        <x:v>JV-412</x:v>
      </x:c>
      <x:c r="B416" s="37" t="str">
        <x:v>13 週現金流因果預測器</x:v>
      </x:c>
      <x:c r="C416" s="37" t="str">
        <x:v>Treasury／FinTech</x:v>
      </x:c>
      <x:c r="D416" s="37" t="str">
        <x:v>現金與流動性</x:v>
      </x:c>
      <x:c r="E416" s="37" t="str">
        <x:v>財務、資金、風險、董事會</x:v>
      </x:c>
      <x:c r="F416" s="37" t="str">
        <x:v>財務長、Treasurer、資金人員、風險經理</x:v>
      </x:c>
      <x:c r="G416" s="37" t="str">
        <x:v>現行作法對「用營運驅動因子解釋預測變化」多靠人工彙整、個人經驗或事後處理，難以一致追蹤，造成決策延遲與重工。</x:v>
      </x:c>
      <x:c r="H416" s="37" t="str">
        <x:v>資料／事件接入；用營運驅動因子解釋預測變化；證據與信心呈現；例外分流與人工覆核；提升可信度成效追蹤；完整稽核軌跡</x:v>
      </x:c>
      <x:c r="I416" s="37" t="str">
        <x:v>預測與情境模擬；多目標最佳化；不確定性呈現；專門模型焦點：用營運驅動因子解釋預測變化</x:v>
      </x:c>
      <x:c r="J416" s="37" t="str">
        <x:v>定期掃描資料與外部訊號，提出優先序與建議；經核准後同步任務與更新來源系統</x:v>
      </x:c>
      <x:c r="K416" s="37" t="str">
        <x:v>L3 可執行／關鍵核准</x:v>
      </x:c>
      <x:c r="L416" s="37" t="str">
        <x:v>銀行餘額、現金流、應收應付、融資、外匯、利率、信用與交易對手</x:v>
      </x:c>
      <x:c r="M416" s="37" t="str">
        <x:v>ERP、TMS、銀行 API、CRM、採購、風險資料源</x:v>
      </x:c>
      <x:c r="N416" s="37" t="str">
        <x:v>跨國企業需每天整合多銀行、多幣別現金並做融資、避險與風險決策。Demo：匯入一組去識別資料，觸發「用營運驅動因子解釋預測變化」，由系統提出證據、建議與下一步；使用者核准後回寫任務，最後呈現「提升可信度」前後差異。</x:v>
      </x:c>
      <x:c r="O416" s="37" t="str">
        <x:v>低</x:v>
      </x:c>
      <x:c r="P416" s="37" t="str">
        <x:v>鄰近既有能力：原有財務可能有帳務與報表；本群聚焦即時流動性、避險決策與交易對手風險。本 App 的獨立邊界是「用營運驅動因子解釋預測變化」，主要產出為「提升可信度」，不是一般登錄、查詢或看板。</x:v>
      </x:c>
      <x:c r="Q416" s="38" t="n">
        <x:v>5</x:v>
      </x:c>
      <x:c r="R416" s="38" t="n">
        <x:v>4</x:v>
      </x:c>
      <x:c r="S416" s="38" t="str">
        <x:v>P1</x:v>
      </x:c>
      <x:c r="T416" s="38" t="n">
        <x:v>9</x:v>
      </x:c>
      <x:c r="U416" s="39" t="str">
        <x:v>Wave 2 高價值套件</x:v>
      </x:c>
    </x:row>
    <x:row r="417" ht="86" customHeight="1">
      <x:c r="A417" s="36" t="str">
        <x:v>JV-413</x:v>
      </x:c>
      <x:c r="B417" s="37" t="str">
        <x:v>日內流動性預警 Agent</x:v>
      </x:c>
      <x:c r="C417" s="37" t="str">
        <x:v>Treasury／FinTech</x:v>
      </x:c>
      <x:c r="D417" s="37" t="str">
        <x:v>現金與流動性</x:v>
      </x:c>
      <x:c r="E417" s="37" t="str">
        <x:v>財務、資金、風險、董事會</x:v>
      </x:c>
      <x:c r="F417" s="37" t="str">
        <x:v>財務長、Treasurer、資金人員、風險經理</x:v>
      </x:c>
      <x:c r="G417" s="37" t="str">
        <x:v>現行作法對「預測付款時點造成的短暫缺口並調度」多靠人工彙整、個人經驗或事後處理，難以一致追蹤，造成決策延遲與重工。</x:v>
      </x:c>
      <x:c r="H417" s="37" t="str">
        <x:v>資料／事件接入；預測付款時點造成的短暫缺口並調度；證據與信心呈現；例外分流與人工覆核；避免透支成效追蹤；完整稽核軌跡</x:v>
      </x:c>
      <x:c r="I417" s="37" t="str">
        <x:v>跨文件／跨系統比對；圖譜推理；差異與缺口生成；專門模型焦點：預測付款時點造成的短暫缺口並調度</x:v>
      </x:c>
      <x:c r="J417" s="37" t="str">
        <x:v>以人機協作模式先產生草案與證據包，接受修改後執行核准步驟並建立完整稽核軌跡</x:v>
      </x:c>
      <x:c r="K417" s="37" t="str">
        <x:v>L3 可執行／關鍵核准</x:v>
      </x:c>
      <x:c r="L417" s="37" t="str">
        <x:v>銀行餘額、現金流、應收應付、融資、外匯、利率、信用與交易對手</x:v>
      </x:c>
      <x:c r="M417" s="37" t="str">
        <x:v>ERP、TMS、銀行 API、CRM、採購、風險資料源</x:v>
      </x:c>
      <x:c r="N417" s="37" t="str">
        <x:v>跨國企業需每天整合多銀行、多幣別現金並做融資、避險與風險決策。Demo：匯入一組去識別資料，觸發「預測付款時點造成的短暫缺口並調度」，由系統提出證據、建議與下一步；使用者核准後回寫任務，最後呈現「避免透支」前後差異。</x:v>
      </x:c>
      <x:c r="O417" s="37" t="str">
        <x:v>低</x:v>
      </x:c>
      <x:c r="P417" s="37" t="str">
        <x:v>鄰近既有能力：原有財務可能有帳務與報表；本群聚焦即時流動性、避險決策與交易對手風險。本 App 的獨立邊界是「預測付款時點造成的短暫缺口並調度」，主要產出為「避免透支」，不是一般登錄、查詢或看板。</x:v>
      </x:c>
      <x:c r="Q417" s="38" t="n">
        <x:v>5</x:v>
      </x:c>
      <x:c r="R417" s="38" t="n">
        <x:v>4</x:v>
      </x:c>
      <x:c r="S417" s="38" t="str">
        <x:v>P1</x:v>
      </x:c>
      <x:c r="T417" s="38" t="n">
        <x:v>9</x:v>
      </x:c>
      <x:c r="U417" s="39" t="str">
        <x:v>Wave 2 高價值套件</x:v>
      </x:c>
    </x:row>
    <x:row r="418" ht="86" customHeight="1">
      <x:c r="A418" s="36" t="str">
        <x:v>JV-414</x:v>
      </x:c>
      <x:c r="B418" s="37" t="str">
        <x:v>現金集中可行性規劃器</x:v>
      </x:c>
      <x:c r="C418" s="37" t="str">
        <x:v>Treasury／FinTech</x:v>
      </x:c>
      <x:c r="D418" s="37" t="str">
        <x:v>現金與流動性</x:v>
      </x:c>
      <x:c r="E418" s="37" t="str">
        <x:v>財務、資金、風險、董事會</x:v>
      </x:c>
      <x:c r="F418" s="37" t="str">
        <x:v>財務長、Treasurer、資金人員、風險經理</x:v>
      </x:c>
      <x:c r="G418" s="37" t="str">
        <x:v>現行作法對「比較 pooling、sweeping 與法規限制」多靠人工彙整、個人經驗或事後處理，難以一致追蹤，造成決策延遲與重工。</x:v>
      </x:c>
      <x:c r="H418" s="37" t="str">
        <x:v>資料／事件接入；比較 pooling、sweeping 與法規限制；證據與信心呈現；例外分流與人工覆核；提升資金效率成效追蹤；完整稽核軌跡</x:v>
      </x:c>
      <x:c r="I418" s="37" t="str">
        <x:v>異常偵測；因果線索分析；可解釋的建議排序；專門模型焦點：比較 pooling、sweeping 與法規限制</x:v>
      </x:c>
      <x:c r="J418" s="37" t="str">
        <x:v>依目標自主規劃步驟、呼叫核准工具、遇到例外改走人工佇列，完成後驗證結果並回報</x:v>
      </x:c>
      <x:c r="K418" s="37" t="str">
        <x:v>L3 可執行／關鍵核准</x:v>
      </x:c>
      <x:c r="L418" s="37" t="str">
        <x:v>銀行餘額、現金流、應收應付、融資、外匯、利率、信用與交易對手</x:v>
      </x:c>
      <x:c r="M418" s="37" t="str">
        <x:v>ERP、TMS、銀行 API、CRM、採購、風險資料源</x:v>
      </x:c>
      <x:c r="N418" s="37" t="str">
        <x:v>跨國企業需每天整合多銀行、多幣別現金並做融資、避險與風險決策。Demo：匯入一組去識別資料，觸發「比較 pooling、sweeping 與法規限制」，由系統提出證據、建議與下一步；使用者核准後回寫任務，最後呈現「提升資金效率」前後差異。</x:v>
      </x:c>
      <x:c r="O418" s="37" t="str">
        <x:v>低</x:v>
      </x:c>
      <x:c r="P418" s="37" t="str">
        <x:v>鄰近既有能力：原有財務可能有帳務與報表；本群聚焦即時流動性、避險決策與交易對手風險。本 App 的獨立邊界是「比較 pooling、sweeping 與法規限制」，主要產出為「提升資金效率」，不是一般登錄、查詢或看板。</x:v>
      </x:c>
      <x:c r="Q418" s="38" t="n">
        <x:v>4</x:v>
      </x:c>
      <x:c r="R418" s="38" t="n">
        <x:v>4</x:v>
      </x:c>
      <x:c r="S418" s="38" t="str">
        <x:v>P1</x:v>
      </x:c>
      <x:c r="T418" s="38" t="n">
        <x:v>9</x:v>
      </x:c>
      <x:c r="U418" s="39" t="str">
        <x:v>Wave 2 高價值套件</x:v>
      </x:c>
    </x:row>
    <x:row r="419" ht="86" customHeight="1">
      <x:c r="A419" s="36" t="str">
        <x:v>JV-415</x:v>
      </x:c>
      <x:c r="B419" s="37" t="str">
        <x:v>閒置資金投資梯度助手</x:v>
      </x:c>
      <x:c r="C419" s="37" t="str">
        <x:v>Treasury／FinTech</x:v>
      </x:c>
      <x:c r="D419" s="37" t="str">
        <x:v>現金與流動性</x:v>
      </x:c>
      <x:c r="E419" s="37" t="str">
        <x:v>財務、資金、風險、董事會</x:v>
      </x:c>
      <x:c r="F419" s="37" t="str">
        <x:v>財務長、Treasurer、資金人員、風險經理</x:v>
      </x:c>
      <x:c r="G419" s="37" t="str">
        <x:v>現行作法對「依期限、風險與流動性配置短期工具」多靠人工彙整、個人經驗或事後處理，難以一致追蹤，造成決策延遲與重工。</x:v>
      </x:c>
      <x:c r="H419" s="37" t="str">
        <x:v>資料／事件接入；依期限、風險與流動性配置短期工具；證據與信心呈現；例外分流與人工覆核；提高收益成效追蹤；完整稽核軌跡</x:v>
      </x:c>
      <x:c r="I419" s="37" t="str">
        <x:v>RAG 檢索與來源引用；規則＋模型混合判斷；矛盾檢查；專門模型焦點：依期限、風險與流動性配置短期工具</x:v>
      </x:c>
      <x:c r="J419" s="37" t="str">
        <x:v>與多個專業 Agent 協作拆解任務，保留交接證據、逾時升級並在失敗時安全回滾</x:v>
      </x:c>
      <x:c r="K419" s="37" t="str">
        <x:v>L2 建議／需核准</x:v>
      </x:c>
      <x:c r="L419" s="37" t="str">
        <x:v>銀行餘額、現金流、應收應付、融資、外匯、利率、信用與交易對手</x:v>
      </x:c>
      <x:c r="M419" s="37" t="str">
        <x:v>ERP、TMS、銀行 API、CRM、採購、風險資料源</x:v>
      </x:c>
      <x:c r="N419" s="37" t="str">
        <x:v>跨國企業需每天整合多銀行、多幣別現金並做融資、避險與風險決策。Demo：匯入一組去識別資料，觸發「依期限、風險與流動性配置短期工具」，由系統提出證據、建議與下一步；使用者核准後回寫任務，最後呈現「提高收益」前後差異。</x:v>
      </x:c>
      <x:c r="O419" s="37" t="str">
        <x:v>中低</x:v>
      </x:c>
      <x:c r="P419" s="37" t="str">
        <x:v>鄰近既有能力：原有財務可能有帳務與報表；本群聚焦即時流動性、避險決策與交易對手風險。本 App 的獨立邊界是「依期限、風險與流動性配置短期工具」，主要產出為「提高收益」，不是一般登錄、查詢或看板。</x:v>
      </x:c>
      <x:c r="Q419" s="38" t="n">
        <x:v>5</x:v>
      </x:c>
      <x:c r="R419" s="38" t="n">
        <x:v>5</x:v>
      </x:c>
      <x:c r="S419" s="38" t="str">
        <x:v>P1</x:v>
      </x:c>
      <x:c r="T419" s="38" t="n">
        <x:v>11</x:v>
      </x:c>
      <x:c r="U419" s="39" t="str">
        <x:v>Wave 2 高價值套件</x:v>
      </x:c>
    </x:row>
    <x:row r="420" ht="86" customHeight="1">
      <x:c r="A420" s="36" t="str">
        <x:v>JV-416</x:v>
      </x:c>
      <x:c r="B420" s="37" t="str">
        <x:v>自然避險機會媒合器</x:v>
      </x:c>
      <x:c r="C420" s="37" t="str">
        <x:v>Treasury／FinTech</x:v>
      </x:c>
      <x:c r="D420" s="37" t="str">
        <x:v>外匯與利率</x:v>
      </x:c>
      <x:c r="E420" s="37" t="str">
        <x:v>財務、資金、風險、董事會</x:v>
      </x:c>
      <x:c r="F420" s="37" t="str">
        <x:v>財務長、Treasurer、資金人員、風險經理</x:v>
      </x:c>
      <x:c r="G420" s="37" t="str">
        <x:v>現行作法對「配對各幣別收支與時間窗口」多靠人工彙整、個人經驗或事後處理，難以一致追蹤，造成決策延遲與重工。</x:v>
      </x:c>
      <x:c r="H420" s="37" t="str">
        <x:v>資料／事件接入；配對各幣別收支與時間窗口；證據與信心呈現；例外分流與人工覆核；降低交易成本成效追蹤；完整稽核軌跡</x:v>
      </x:c>
      <x:c r="I420" s="37" t="str">
        <x:v>語意分類與實體抽取；風險／信心評分；具證據的生成與摘要；專門模型焦點：配對各幣別收支與時間窗口</x:v>
      </x:c>
      <x:c r="J420" s="37" t="str">
        <x:v>持續監測事件，達門檻後建立案件、蒐集證據、指派責任並追蹤結案；高風險動作需人工核准</x:v>
      </x:c>
      <x:c r="K420" s="37" t="str">
        <x:v>L3 可執行／關鍵核准</x:v>
      </x:c>
      <x:c r="L420" s="37" t="str">
        <x:v>銀行餘額、現金流、應收應付、融資、外匯、利率、信用與交易對手</x:v>
      </x:c>
      <x:c r="M420" s="37" t="str">
        <x:v>ERP、TMS、銀行 API、CRM、採購、風險資料源</x:v>
      </x:c>
      <x:c r="N420" s="37" t="str">
        <x:v>跨國企業需每天整合多銀行、多幣別現金並做融資、避險與風險決策。Demo：匯入一組去識別資料，觸發「配對各幣別收支與時間窗口」，由系統提出證據、建議與下一步；使用者核准後回寫任務，最後呈現「降低交易成本」前後差異。</x:v>
      </x:c>
      <x:c r="O420" s="37" t="str">
        <x:v>中低</x:v>
      </x:c>
      <x:c r="P420" s="37" t="str">
        <x:v>鄰近既有能力：原有財務可能有帳務與報表；本群聚焦即時流動性、避險決策與交易對手風險。本 App 的獨立邊界是「配對各幣別收支與時間窗口」，主要產出為「降低交易成本」，不是一般登錄、查詢或看板。</x:v>
      </x:c>
      <x:c r="Q420" s="38" t="n">
        <x:v>5</x:v>
      </x:c>
      <x:c r="R420" s="38" t="n">
        <x:v>3</x:v>
      </x:c>
      <x:c r="S420" s="38" t="str">
        <x:v>P1</x:v>
      </x:c>
      <x:c r="T420" s="38" t="n">
        <x:v>7</x:v>
      </x:c>
      <x:c r="U420" s="39" t="str">
        <x:v>Wave 2 高價值套件</x:v>
      </x:c>
    </x:row>
    <x:row r="421" ht="86" customHeight="1">
      <x:c r="A421" s="36" t="str">
        <x:v>JV-417</x:v>
      </x:c>
      <x:c r="B421" s="37" t="str">
        <x:v>外匯曝險滾動預測器</x:v>
      </x:c>
      <x:c r="C421" s="37" t="str">
        <x:v>Treasury／FinTech</x:v>
      </x:c>
      <x:c r="D421" s="37" t="str">
        <x:v>外匯與利率</x:v>
      </x:c>
      <x:c r="E421" s="37" t="str">
        <x:v>財務、資金、風險、董事會</x:v>
      </x:c>
      <x:c r="F421" s="37" t="str">
        <x:v>財務長、Treasurer、資金人員、風險經理</x:v>
      </x:c>
      <x:c r="G421" s="37" t="str">
        <x:v>現行作法對「連結訂單、採購與機率產生曝險曲線」多靠人工彙整、個人經驗或事後處理，難以一致追蹤，造成決策延遲與重工。</x:v>
      </x:c>
      <x:c r="H421" s="37" t="str">
        <x:v>資料／事件接入；連結訂單、採購與機率產生曝險曲線；證據與信心呈現；例外分流與人工覆核；提前避險成效追蹤；完整稽核軌跡</x:v>
      </x:c>
      <x:c r="I421" s="37" t="str">
        <x:v>預測與情境模擬；多目標最佳化；不確定性呈現；專門模型焦點：連結訂單、採購與機率產生曝險曲線</x:v>
      </x:c>
      <x:c r="J421" s="37" t="str">
        <x:v>定期掃描資料與外部訊號，提出優先序與建議；經核准後同步任務與更新來源系統</x:v>
      </x:c>
      <x:c r="K421" s="37" t="str">
        <x:v>L3 可執行／關鍵核准</x:v>
      </x:c>
      <x:c r="L421" s="37" t="str">
        <x:v>銀行餘額、現金流、應收應付、融資、外匯、利率、信用與交易對手</x:v>
      </x:c>
      <x:c r="M421" s="37" t="str">
        <x:v>ERP、TMS、銀行 API、CRM、採購、風險資料源</x:v>
      </x:c>
      <x:c r="N421" s="37" t="str">
        <x:v>跨國企業需每天整合多銀行、多幣別現金並做融資、避險與風險決策。Demo：匯入一組去識別資料，觸發「連結訂單、採購與機率產生曝險曲線」，由系統提出證據、建議與下一步；使用者核准後回寫任務，最後呈現「提前避險」前後差異。</x:v>
      </x:c>
      <x:c r="O421" s="37" t="str">
        <x:v>低</x:v>
      </x:c>
      <x:c r="P421" s="37" t="str">
        <x:v>鄰近既有能力：原有財務可能有帳務與報表；本群聚焦即時流動性、避險決策與交易對手風險。本 App 的獨立邊界是「連結訂單、採購與機率產生曝險曲線」，主要產出為「提前避險」，不是一般登錄、查詢或看板。</x:v>
      </x:c>
      <x:c r="Q421" s="38" t="n">
        <x:v>5</x:v>
      </x:c>
      <x:c r="R421" s="38" t="n">
        <x:v>4</x:v>
      </x:c>
      <x:c r="S421" s="38" t="str">
        <x:v>P1</x:v>
      </x:c>
      <x:c r="T421" s="38" t="n">
        <x:v>9</x:v>
      </x:c>
      <x:c r="U421" s="39" t="str">
        <x:v>Wave 2 高價值套件</x:v>
      </x:c>
    </x:row>
    <x:row r="422" ht="86" customHeight="1">
      <x:c r="A422" s="36" t="str">
        <x:v>JV-418</x:v>
      </x:c>
      <x:c r="B422" s="37" t="str">
        <x:v>避險工具情境模擬器</x:v>
      </x:c>
      <x:c r="C422" s="37" t="str">
        <x:v>Treasury／FinTech</x:v>
      </x:c>
      <x:c r="D422" s="37" t="str">
        <x:v>外匯與利率</x:v>
      </x:c>
      <x:c r="E422" s="37" t="str">
        <x:v>財務、資金、風險、董事會</x:v>
      </x:c>
      <x:c r="F422" s="37" t="str">
        <x:v>財務長、Treasurer、資金人員、風險經理</x:v>
      </x:c>
      <x:c r="G422" s="37" t="str">
        <x:v>現行作法對「比較遠期、選擇權與不避險的結果分布」多靠人工彙整、個人經驗或事後處理，難以一致追蹤，造成決策延遲與重工。</x:v>
      </x:c>
      <x:c r="H422" s="37" t="str">
        <x:v>資料／事件接入；比較遠期、選擇權與不避險的結果分布；證據與信心呈現；例外分流與人工覆核；支援策略成效追蹤；完整稽核軌跡</x:v>
      </x:c>
      <x:c r="I422" s="37" t="str">
        <x:v>跨文件／跨系統比對；圖譜推理；差異與缺口生成；專門模型焦點：比較遠期、選擇權與不避險的結果分布</x:v>
      </x:c>
      <x:c r="J422" s="37" t="str">
        <x:v>以人機協作模式先產生草案與證據包，接受修改後執行核准步驟並建立完整稽核軌跡</x:v>
      </x:c>
      <x:c r="K422" s="37" t="str">
        <x:v>L3 可執行／關鍵核准</x:v>
      </x:c>
      <x:c r="L422" s="37" t="str">
        <x:v>銀行餘額、現金流、應收應付、融資、外匯、利率、信用與交易對手</x:v>
      </x:c>
      <x:c r="M422" s="37" t="str">
        <x:v>ERP、TMS、銀行 API、CRM、採購、風險資料源</x:v>
      </x:c>
      <x:c r="N422" s="37" t="str">
        <x:v>跨國企業需每天整合多銀行、多幣別現金並做融資、避險與風險決策。Demo：匯入一組去識別資料，觸發「比較遠期、選擇權與不避險的結果分布」，由系統提出證據、建議與下一步；使用者核准後回寫任務，最後呈現「支援策略」前後差異。</x:v>
      </x:c>
      <x:c r="O422" s="37" t="str">
        <x:v>低</x:v>
      </x:c>
      <x:c r="P422" s="37" t="str">
        <x:v>鄰近既有能力：原有財務可能有帳務與報表；本群聚焦即時流動性、避險決策與交易對手風險。本 App 的獨立邊界是「比較遠期、選擇權與不避險的結果分布」，主要產出為「支援策略」，不是一般登錄、查詢或看板。</x:v>
      </x:c>
      <x:c r="Q422" s="38" t="n">
        <x:v>5</x:v>
      </x:c>
      <x:c r="R422" s="38" t="n">
        <x:v>4</x:v>
      </x:c>
      <x:c r="S422" s="38" t="str">
        <x:v>P1</x:v>
      </x:c>
      <x:c r="T422" s="38" t="n">
        <x:v>9</x:v>
      </x:c>
      <x:c r="U422" s="39" t="str">
        <x:v>Wave 2 高價值套件</x:v>
      </x:c>
    </x:row>
    <x:row r="423" ht="86" customHeight="1">
      <x:c r="A423" s="36" t="str">
        <x:v>JV-419</x:v>
      </x:c>
      <x:c r="B423" s="37" t="str">
        <x:v>避險會計文件 Agent</x:v>
      </x:c>
      <x:c r="C423" s="37" t="str">
        <x:v>Treasury／FinTech</x:v>
      </x:c>
      <x:c r="D423" s="37" t="str">
        <x:v>外匯與利率</x:v>
      </x:c>
      <x:c r="E423" s="37" t="str">
        <x:v>財務、資金、風險、董事會</x:v>
      </x:c>
      <x:c r="F423" s="37" t="str">
        <x:v>財務長、Treasurer、資金人員、風險經理</x:v>
      </x:c>
      <x:c r="G423" s="37" t="str">
        <x:v>現行作法對「彙整指定、有效性測試與持續證據」多靠人工彙整、個人經驗或事後處理，難以一致追蹤，造成決策延遲與重工。</x:v>
      </x:c>
      <x:c r="H423" s="37" t="str">
        <x:v>資料／事件接入；彙整指定、有效性測試與持續證據；證據與信心呈現；例外分流與人工覆核；降低合規作業成效追蹤；完整稽核軌跡</x:v>
      </x:c>
      <x:c r="I423" s="37" t="str">
        <x:v>異常偵測；因果線索分析；可解釋的建議排序；專門模型焦點：彙整指定、有效性測試與持續證據</x:v>
      </x:c>
      <x:c r="J423" s="37" t="str">
        <x:v>依目標自主規劃步驟、呼叫核准工具、遇到例外改走人工佇列，完成後驗證結果並回報</x:v>
      </x:c>
      <x:c r="K423" s="37" t="str">
        <x:v>L3 可執行／關鍵核准</x:v>
      </x:c>
      <x:c r="L423" s="37" t="str">
        <x:v>銀行餘額、現金流、應收應付、融資、外匯、利率、信用與交易對手</x:v>
      </x:c>
      <x:c r="M423" s="37" t="str">
        <x:v>ERP、TMS、銀行 API、CRM、採購、風險資料源</x:v>
      </x:c>
      <x:c r="N423" s="37" t="str">
        <x:v>跨國企業需每天整合多銀行、多幣別現金並做融資、避險與風險決策。Demo：匯入一組去識別資料，觸發「彙整指定、有效性測試與持續證據」，由系統提出證據、建議與下一步；使用者核准後回寫任務，最後呈現「降低合規作業」前後差異。</x:v>
      </x:c>
      <x:c r="O423" s="37" t="str">
        <x:v>低</x:v>
      </x:c>
      <x:c r="P423" s="37" t="str">
        <x:v>鄰近既有能力：原有財務可能有帳務與報表；本群聚焦即時流動性、避險決策與交易對手風險。本 App 的獨立邊界是「彙整指定、有效性測試與持續證據」，主要產出為「降低合規作業」，不是一般登錄、查詢或看板。</x:v>
      </x:c>
      <x:c r="Q423" s="38" t="n">
        <x:v>5</x:v>
      </x:c>
      <x:c r="R423" s="38" t="n">
        <x:v>4</x:v>
      </x:c>
      <x:c r="S423" s="38" t="str">
        <x:v>P1</x:v>
      </x:c>
      <x:c r="T423" s="38" t="n">
        <x:v>9</x:v>
      </x:c>
      <x:c r="U423" s="39" t="str">
        <x:v>Wave 2 高價值套件</x:v>
      </x:c>
    </x:row>
    <x:row r="424" ht="86" customHeight="1">
      <x:c r="A424" s="36" t="str">
        <x:v>JV-420</x:v>
      </x:c>
      <x:c r="B424" s="37" t="str">
        <x:v>利率重設風險雷達</x:v>
      </x:c>
      <x:c r="C424" s="37" t="str">
        <x:v>Treasury／FinTech</x:v>
      </x:c>
      <x:c r="D424" s="37" t="str">
        <x:v>外匯與利率</x:v>
      </x:c>
      <x:c r="E424" s="37" t="str">
        <x:v>財務、資金、風險、董事會</x:v>
      </x:c>
      <x:c r="F424" s="37" t="str">
        <x:v>財務長、Treasurer、資金人員、風險經理</x:v>
      </x:c>
      <x:c r="G424" s="37" t="str">
        <x:v>現行作法對「追蹤浮動債務重設與現金流敏感度」多靠人工彙整、個人經驗或事後處理，難以一致追蹤，造成決策延遲與重工。</x:v>
      </x:c>
      <x:c r="H424" s="37" t="str">
        <x:v>資料／事件接入；追蹤浮動債務重設與現金流敏感度；證據與信心呈現；例外分流與人工覆核；提前鎖定成本成效追蹤；完整稽核軌跡</x:v>
      </x:c>
      <x:c r="I424" s="37" t="str">
        <x:v>RAG 檢索與來源引用；規則＋模型混合判斷；矛盾檢查；專門模型焦點：追蹤浮動債務重設與現金流敏感度</x:v>
      </x:c>
      <x:c r="J424" s="37" t="str">
        <x:v>與多個專業 Agent 協作拆解任務，保留交接證據、逾時升級並在失敗時安全回滾</x:v>
      </x:c>
      <x:c r="K424" s="37" t="str">
        <x:v>L2 建議／需核准</x:v>
      </x:c>
      <x:c r="L424" s="37" t="str">
        <x:v>銀行餘額、現金流、應收應付、融資、外匯、利率、信用與交易對手</x:v>
      </x:c>
      <x:c r="M424" s="37" t="str">
        <x:v>ERP、TMS、銀行 API、CRM、採購、風險資料源</x:v>
      </x:c>
      <x:c r="N424" s="37" t="str">
        <x:v>跨國企業需每天整合多銀行、多幣別現金並做融資、避險與風險決策。Demo：匯入一組去識別資料，觸發「追蹤浮動債務重設與現金流敏感度」，由系統提出證據、建議與下一步；使用者核准後回寫任務，最後呈現「提前鎖定成本」前後差異。</x:v>
      </x:c>
      <x:c r="O424" s="37" t="str">
        <x:v>中低</x:v>
      </x:c>
      <x:c r="P424" s="37" t="str">
        <x:v>鄰近既有能力：原有財務可能有帳務與報表；本群聚焦即時流動性、避險決策與交易對手風險。本 App 的獨立邊界是「追蹤浮動債務重設與現金流敏感度」，主要產出為「提前鎖定成本」，不是一般登錄、查詢或看板。</x:v>
      </x:c>
      <x:c r="Q424" s="38" t="n">
        <x:v>4</x:v>
      </x:c>
      <x:c r="R424" s="38" t="n">
        <x:v>5</x:v>
      </x:c>
      <x:c r="S424" s="38" t="str">
        <x:v>P1</x:v>
      </x:c>
      <x:c r="T424" s="38" t="n">
        <x:v>11</x:v>
      </x:c>
      <x:c r="U424" s="39" t="str">
        <x:v>Wave 2 高價值套件</x:v>
      </x:c>
    </x:row>
    <x:row r="425" ht="86" customHeight="1">
      <x:c r="A425" s="36" t="str">
        <x:v>JV-421</x:v>
      </x:c>
      <x:c r="B425" s="37" t="str">
        <x:v>融資契約 Covenant 雷達</x:v>
      </x:c>
      <x:c r="C425" s="37" t="str">
        <x:v>Treasury／FinTech</x:v>
      </x:c>
      <x:c r="D425" s="37" t="str">
        <x:v>融資與授信</x:v>
      </x:c>
      <x:c r="E425" s="37" t="str">
        <x:v>財務、資金、風險、董事會</x:v>
      </x:c>
      <x:c r="F425" s="37" t="str">
        <x:v>財務長、Treasurer、資金人員、風險經理</x:v>
      </x:c>
      <x:c r="G425" s="37" t="str">
        <x:v>現行作法對「從財務預測監測接近違約的條款」多靠人工彙整、個人經驗或事後處理，難以一致追蹤，造成決策延遲與重工。</x:v>
      </x:c>
      <x:c r="H425" s="37" t="str">
        <x:v>資料／事件接入；從財務預測監測接近違約的條款；證據與信心呈現；例外分流與人工覆核；提前協商成效追蹤；完整稽核軌跡</x:v>
      </x:c>
      <x:c r="I425" s="37" t="str">
        <x:v>語意分類與實體抽取；風險／信心評分；具證據的生成與摘要；專門模型焦點：從財務預測監測接近違約的條款</x:v>
      </x:c>
      <x:c r="J425" s="37" t="str">
        <x:v>持續監測事件，達門檻後建立案件、蒐集證據、指派責任並追蹤結案；高風險動作需人工核准</x:v>
      </x:c>
      <x:c r="K425" s="37" t="str">
        <x:v>L3 可執行／關鍵核准</x:v>
      </x:c>
      <x:c r="L425" s="37" t="str">
        <x:v>銀行餘額、現金流、應收應付、融資、外匯、利率、信用與交易對手</x:v>
      </x:c>
      <x:c r="M425" s="37" t="str">
        <x:v>ERP、TMS、銀行 API、CRM、採購、風險資料源</x:v>
      </x:c>
      <x:c r="N425" s="37" t="str">
        <x:v>跨國企業需每天整合多銀行、多幣別現金並做融資、避險與風險決策。Demo：匯入一組去識別資料，觸發「從財務預測監測接近違約的條款」，由系統提出證據、建議與下一步；使用者核准後回寫任務，最後呈現「提前協商」前後差異。</x:v>
      </x:c>
      <x:c r="O425" s="37" t="str">
        <x:v>中低</x:v>
      </x:c>
      <x:c r="P425" s="37" t="str">
        <x:v>鄰近既有能力：原有財務可能有帳務與報表；本群聚焦即時流動性、避險決策與交易對手風險。本 App 的獨立邊界是「從財務預測監測接近違約的條款」，主要產出為「提前協商」，不是一般登錄、查詢或看板。</x:v>
      </x:c>
      <x:c r="Q425" s="38" t="n">
        <x:v>5</x:v>
      </x:c>
      <x:c r="R425" s="38" t="n">
        <x:v>3</x:v>
      </x:c>
      <x:c r="S425" s="38" t="str">
        <x:v>P1</x:v>
      </x:c>
      <x:c r="T425" s="38" t="n">
        <x:v>7</x:v>
      </x:c>
      <x:c r="U425" s="39" t="str">
        <x:v>Wave 2 高價值套件</x:v>
      </x:c>
    </x:row>
    <x:row r="426" ht="86" customHeight="1">
      <x:c r="A426" s="36" t="str">
        <x:v>JV-422</x:v>
      </x:c>
      <x:c r="B426" s="37" t="str">
        <x:v>銀行額度最佳配置器</x:v>
      </x:c>
      <x:c r="C426" s="37" t="str">
        <x:v>Treasury／FinTech</x:v>
      </x:c>
      <x:c r="D426" s="37" t="str">
        <x:v>融資與授信</x:v>
      </x:c>
      <x:c r="E426" s="37" t="str">
        <x:v>財務、資金、風險、董事會</x:v>
      </x:c>
      <x:c r="F426" s="37" t="str">
        <x:v>財務長、Treasurer、資金人員、風險經理</x:v>
      </x:c>
      <x:c r="G426" s="37" t="str">
        <x:v>現行作法對「依費率、條件、到期與關係分配使用」多靠人工彙整、個人經驗或事後處理，難以一致追蹤，造成決策延遲與重工。</x:v>
      </x:c>
      <x:c r="H426" s="37" t="str">
        <x:v>資料／事件接入；依費率、條件、到期與關係分配使用；證據與信心呈現；例外分流與人工覆核；降低融資成本成效追蹤；完整稽核軌跡</x:v>
      </x:c>
      <x:c r="I426" s="37" t="str">
        <x:v>預測與情境模擬；多目標最佳化；不確定性呈現；專門模型焦點：依費率、條件、到期與關係分配使用</x:v>
      </x:c>
      <x:c r="J426" s="37" t="str">
        <x:v>定期掃描資料與外部訊號，提出優先序與建議；經核准後同步任務與更新來源系統</x:v>
      </x:c>
      <x:c r="K426" s="37" t="str">
        <x:v>L3 可執行／關鍵核准</x:v>
      </x:c>
      <x:c r="L426" s="37" t="str">
        <x:v>銀行餘額、現金流、應收應付、融資、外匯、利率、信用與交易對手</x:v>
      </x:c>
      <x:c r="M426" s="37" t="str">
        <x:v>ERP、TMS、銀行 API、CRM、採購、風險資料源</x:v>
      </x:c>
      <x:c r="N426" s="37" t="str">
        <x:v>跨國企業需每天整合多銀行、多幣別現金並做融資、避險與風險決策。Demo：匯入一組去識別資料，觸發「依費率、條件、到期與關係分配使用」，由系統提出證據、建議與下一步；使用者核准後回寫任務，最後呈現「降低融資成本」前後差異。</x:v>
      </x:c>
      <x:c r="O426" s="37" t="str">
        <x:v>低</x:v>
      </x:c>
      <x:c r="P426" s="37" t="str">
        <x:v>鄰近既有能力：原有財務可能有帳務與報表；本群聚焦即時流動性、避險決策與交易對手風險。本 App 的獨立邊界是「依費率、條件、到期與關係分配使用」，主要產出為「降低融資成本」，不是一般登錄、查詢或看板。</x:v>
      </x:c>
      <x:c r="Q426" s="38" t="n">
        <x:v>5</x:v>
      </x:c>
      <x:c r="R426" s="38" t="n">
        <x:v>4</x:v>
      </x:c>
      <x:c r="S426" s="38" t="str">
        <x:v>P1</x:v>
      </x:c>
      <x:c r="T426" s="38" t="n">
        <x:v>9</x:v>
      </x:c>
      <x:c r="U426" s="39" t="str">
        <x:v>Wave 2 高價值套件</x:v>
      </x:c>
    </x:row>
    <x:row r="427" ht="86" customHeight="1">
      <x:c r="A427" s="36" t="str">
        <x:v>JV-423</x:v>
      </x:c>
      <x:c r="B427" s="37" t="str">
        <x:v>營運資金情境設計器</x:v>
      </x:c>
      <x:c r="C427" s="37" t="str">
        <x:v>Treasury／FinTech</x:v>
      </x:c>
      <x:c r="D427" s="37" t="str">
        <x:v>融資與授信</x:v>
      </x:c>
      <x:c r="E427" s="37" t="str">
        <x:v>財務、資金、風險、董事會</x:v>
      </x:c>
      <x:c r="F427" s="37" t="str">
        <x:v>財務長、Treasurer、資金人員、風險經理</x:v>
      </x:c>
      <x:c r="G427" s="37" t="str">
        <x:v>現行作法對「模擬庫存、收款與付款政策對現金的影響」多靠人工彙整、個人經驗或事後處理，難以一致追蹤，造成決策延遲與重工。</x:v>
      </x:c>
      <x:c r="H427" s="37" t="str">
        <x:v>資料／事件接入；模擬庫存、收款與付款政策對現金的影響；證據與信心呈現；例外分流與人工覆核；驅動跨部門改善成效追蹤；完整稽核軌跡</x:v>
      </x:c>
      <x:c r="I427" s="37" t="str">
        <x:v>跨文件／跨系統比對；圖譜推理；差異與缺口生成；專門模型焦點：模擬庫存、收款與付款政策對現金的影響</x:v>
      </x:c>
      <x:c r="J427" s="37" t="str">
        <x:v>以人機協作模式先產生草案與證據包，接受修改後執行核准步驟並建立完整稽核軌跡</x:v>
      </x:c>
      <x:c r="K427" s="37" t="str">
        <x:v>L3 可執行／關鍵核准</x:v>
      </x:c>
      <x:c r="L427" s="37" t="str">
        <x:v>銀行餘額、現金流、應收應付、融資、外匯、利率、信用與交易對手</x:v>
      </x:c>
      <x:c r="M427" s="37" t="str">
        <x:v>ERP、TMS、銀行 API、CRM、採購、風險資料源</x:v>
      </x:c>
      <x:c r="N427" s="37" t="str">
        <x:v>跨國企業需每天整合多銀行、多幣別現金並做融資、避險與風險決策。Demo：匯入一組去識別資料，觸發「模擬庫存、收款與付款政策對現金的影響」，由系統提出證據、建議與下一步；使用者核准後回寫任務，最後呈現「驅動跨部門改善」前後差異。</x:v>
      </x:c>
      <x:c r="O427" s="37" t="str">
        <x:v>低</x:v>
      </x:c>
      <x:c r="P427" s="37" t="str">
        <x:v>鄰近既有能力：原有財務可能有帳務與報表；本群聚焦即時流動性、避險決策與交易對手風險。本 App 的獨立邊界是「模擬庫存、收款與付款政策對現金的影響」，主要產出為「驅動跨部門改善」，不是一般登錄、查詢或看板。</x:v>
      </x:c>
      <x:c r="Q427" s="38" t="n">
        <x:v>5</x:v>
      </x:c>
      <x:c r="R427" s="38" t="n">
        <x:v>4</x:v>
      </x:c>
      <x:c r="S427" s="38" t="str">
        <x:v>P1</x:v>
      </x:c>
      <x:c r="T427" s="38" t="n">
        <x:v>9</x:v>
      </x:c>
      <x:c r="U427" s="39" t="str">
        <x:v>Wave 2 高價值套件</x:v>
      </x:c>
    </x:row>
    <x:row r="428" ht="86" customHeight="1">
      <x:c r="A428" s="36" t="str">
        <x:v>JV-424</x:v>
      </x:c>
      <x:c r="B428" s="37" t="str">
        <x:v>供應鏈融資適配器</x:v>
      </x:c>
      <x:c r="C428" s="37" t="str">
        <x:v>Treasury／FinTech</x:v>
      </x:c>
      <x:c r="D428" s="37" t="str">
        <x:v>融資與授信</x:v>
      </x:c>
      <x:c r="E428" s="37" t="str">
        <x:v>財務、資金、風險、董事會</x:v>
      </x:c>
      <x:c r="F428" s="37" t="str">
        <x:v>財務長、Treasurer、資金人員、風險經理</x:v>
      </x:c>
      <x:c r="G428" s="37" t="str">
        <x:v>現行作法對「辨識適合應收、應付或存貨融資的交易」多靠人工彙整、個人經驗或事後處理，難以一致追蹤，造成決策延遲與重工。</x:v>
      </x:c>
      <x:c r="H428" s="37" t="str">
        <x:v>資料／事件接入；辨識適合應收、應付或存貨融資的交易；證據與信心呈現；例外分流與人工覆核；釋放現金成效追蹤；完整稽核軌跡</x:v>
      </x:c>
      <x:c r="I428" s="37" t="str">
        <x:v>異常偵測；因果線索分析；可解釋的建議排序；專門模型焦點：辨識適合應收、應付或存貨融資的交易</x:v>
      </x:c>
      <x:c r="J428" s="37" t="str">
        <x:v>依目標自主規劃步驟、呼叫核准工具、遇到例外改走人工佇列，完成後驗證結果並回報</x:v>
      </x:c>
      <x:c r="K428" s="37" t="str">
        <x:v>L3 可執行／關鍵核准</x:v>
      </x:c>
      <x:c r="L428" s="37" t="str">
        <x:v>銀行餘額、現金流、應收應付、融資、外匯、利率、信用與交易對手</x:v>
      </x:c>
      <x:c r="M428" s="37" t="str">
        <x:v>ERP、TMS、銀行 API、CRM、採購、風險資料源</x:v>
      </x:c>
      <x:c r="N428" s="37" t="str">
        <x:v>跨國企業需每天整合多銀行、多幣別現金並做融資、避險與風險決策。Demo：匯入一組去識別資料，觸發「辨識適合應收、應付或存貨融資的交易」，由系統提出證據、建議與下一步；使用者核准後回寫任務，最後呈現「釋放現金」前後差異。</x:v>
      </x:c>
      <x:c r="O428" s="37" t="str">
        <x:v>低</x:v>
      </x:c>
      <x:c r="P428" s="37" t="str">
        <x:v>鄰近既有能力：原有財務可能有帳務與報表；本群聚焦即時流動性、避險決策與交易對手風險。本 App 的獨立邊界是「辨識適合應收、應付或存貨融資的交易」，主要產出為「釋放現金」，不是一般登錄、查詢或看板。</x:v>
      </x:c>
      <x:c r="Q428" s="38" t="n">
        <x:v>5</x:v>
      </x:c>
      <x:c r="R428" s="38" t="n">
        <x:v>4</x:v>
      </x:c>
      <x:c r="S428" s="38" t="str">
        <x:v>P1</x:v>
      </x:c>
      <x:c r="T428" s="38" t="n">
        <x:v>9</x:v>
      </x:c>
      <x:c r="U428" s="39" t="str">
        <x:v>Wave 2 高價值套件</x:v>
      </x:c>
    </x:row>
    <x:row r="429" ht="86" customHeight="1">
      <x:c r="A429" s="36" t="str">
        <x:v>JV-425</x:v>
      </x:c>
      <x:c r="B429" s="37" t="str">
        <x:v>融資資料包產生器</x:v>
      </x:c>
      <x:c r="C429" s="37" t="str">
        <x:v>Treasury／FinTech</x:v>
      </x:c>
      <x:c r="D429" s="37" t="str">
        <x:v>融資與授信</x:v>
      </x:c>
      <x:c r="E429" s="37" t="str">
        <x:v>財務、資金、風險、董事會</x:v>
      </x:c>
      <x:c r="F429" s="37" t="str">
        <x:v>財務長、Treasurer、資金人員、風險經理</x:v>
      </x:c>
      <x:c r="G429" s="37" t="str">
        <x:v>現行作法對「依銀行要求彙整財務、預測、擔保與說明」多靠人工彙整、個人經驗或事後處理，難以一致追蹤，造成決策延遲與重工。</x:v>
      </x:c>
      <x:c r="H429" s="37" t="str">
        <x:v>資料／事件接入；依銀行要求彙整財務、預測、擔保與說明；證據與信心呈現；例外分流與人工覆核；縮短申請成效追蹤；完整稽核軌跡</x:v>
      </x:c>
      <x:c r="I429" s="37" t="str">
        <x:v>RAG 檢索與來源引用；規則＋模型混合判斷；矛盾檢查；專門模型焦點：依銀行要求彙整財務、預測、擔保與說明</x:v>
      </x:c>
      <x:c r="J429" s="37" t="str">
        <x:v>與多個專業 Agent 協作拆解任務，保留交接證據、逾時升級並在失敗時安全回滾</x:v>
      </x:c>
      <x:c r="K429" s="37" t="str">
        <x:v>L2 建議／需核准</x:v>
      </x:c>
      <x:c r="L429" s="37" t="str">
        <x:v>銀行餘額、現金流、應收應付、融資、外匯、利率、信用與交易對手</x:v>
      </x:c>
      <x:c r="M429" s="37" t="str">
        <x:v>ERP、TMS、銀行 API、CRM、採購、風險資料源</x:v>
      </x:c>
      <x:c r="N429" s="37" t="str">
        <x:v>跨國企業需每天整合多銀行、多幣別現金並做融資、避險與風險決策。Demo：匯入一組去識別資料，觸發「依銀行要求彙整財務、預測、擔保與說明」，由系統提出證據、建議與下一步；使用者核准後回寫任務，最後呈現「縮短申請」前後差異。</x:v>
      </x:c>
      <x:c r="O429" s="37" t="str">
        <x:v>中低</x:v>
      </x:c>
      <x:c r="P429" s="37" t="str">
        <x:v>鄰近既有能力：原有財務可能有帳務與報表；本群聚焦即時流動性、避險決策與交易對手風險。本 App 的獨立邊界是「依銀行要求彙整財務、預測、擔保與說明」，主要產出為「縮短申請」，不是一般登錄、查詢或看板。</x:v>
      </x:c>
      <x:c r="Q429" s="38" t="n">
        <x:v>5</x:v>
      </x:c>
      <x:c r="R429" s="38" t="n">
        <x:v>5</x:v>
      </x:c>
      <x:c r="S429" s="38" t="str">
        <x:v>P1</x:v>
      </x:c>
      <x:c r="T429" s="38" t="n">
        <x:v>11</x:v>
      </x:c>
      <x:c r="U429" s="39" t="str">
        <x:v>Wave 2 高價值套件</x:v>
      </x:c>
    </x:row>
    <x:row r="430" ht="86" customHeight="1">
      <x:c r="A430" s="36" t="str">
        <x:v>JV-426</x:v>
      </x:c>
      <x:c r="B430" s="37" t="str">
        <x:v>付款詐欺情境攔截器</x:v>
      </x:c>
      <x:c r="C430" s="37" t="str">
        <x:v>Treasury／FinTech</x:v>
      </x:c>
      <x:c r="D430" s="37" t="str">
        <x:v>風險與控制</x:v>
      </x:c>
      <x:c r="E430" s="37" t="str">
        <x:v>財務、資金、風險、董事會</x:v>
      </x:c>
      <x:c r="F430" s="37" t="str">
        <x:v>財務長、Treasurer、資金人員、風險經理</x:v>
      </x:c>
      <x:c r="G430" s="37" t="str">
        <x:v>現行作法對「結合帳戶變更、行為與關係辨識詐欺」多靠人工彙整、個人經驗或事後處理，難以一致追蹤，造成決策延遲與重工。</x:v>
      </x:c>
      <x:c r="H430" s="37" t="str">
        <x:v>資料／事件接入；結合帳戶變更、行為與關係辨識詐欺；證據與信心呈現；例外分流與人工覆核；阻止損失成效追蹤；完整稽核軌跡</x:v>
      </x:c>
      <x:c r="I430" s="37" t="str">
        <x:v>語意分類與實體抽取；風險／信心評分；具證據的生成與摘要；專門模型焦點：結合帳戶變更、行為與關係辨識詐欺</x:v>
      </x:c>
      <x:c r="J430" s="37" t="str">
        <x:v>持續監測事件，達門檻後建立案件、蒐集證據、指派責任並追蹤結案；高風險動作需人工核准</x:v>
      </x:c>
      <x:c r="K430" s="37" t="str">
        <x:v>L3 可執行／關鍵核准</x:v>
      </x:c>
      <x:c r="L430" s="37" t="str">
        <x:v>銀行餘額、現金流、應收應付、融資、外匯、利率、信用與交易對手</x:v>
      </x:c>
      <x:c r="M430" s="37" t="str">
        <x:v>ERP、TMS、銀行 API、CRM、採購、風險資料源</x:v>
      </x:c>
      <x:c r="N430" s="37" t="str">
        <x:v>跨國企業需每天整合多銀行、多幣別現金並做融資、避險與風險決策。Demo：匯入一組去識別資料，觸發「結合帳戶變更、行為與關係辨識詐欺」，由系統提出證據、建議與下一步；使用者核准後回寫任務，最後呈現「阻止損失」前後差異。</x:v>
      </x:c>
      <x:c r="O430" s="37" t="str">
        <x:v>中低</x:v>
      </x:c>
      <x:c r="P430" s="37" t="str">
        <x:v>鄰近既有能力：原有財務可能有帳務與報表；本群聚焦即時流動性、避險決策與交易對手風險。本 App 的獨立邊界是「結合帳戶變更、行為與關係辨識詐欺」，主要產出為「阻止損失」，不是一般登錄、查詢或看板。</x:v>
      </x:c>
      <x:c r="Q430" s="38" t="n">
        <x:v>5</x:v>
      </x:c>
      <x:c r="R430" s="38" t="n">
        <x:v>3</x:v>
      </x:c>
      <x:c r="S430" s="38" t="str">
        <x:v>P1</x:v>
      </x:c>
      <x:c r="T430" s="38" t="n">
        <x:v>7</x:v>
      </x:c>
      <x:c r="U430" s="39" t="str">
        <x:v>Wave 2 高價值套件</x:v>
      </x:c>
    </x:row>
    <x:row r="431" ht="86" customHeight="1">
      <x:c r="A431" s="36" t="str">
        <x:v>JV-427</x:v>
      </x:c>
      <x:c r="B431" s="37" t="str">
        <x:v>交易對手信用曝險網路</x:v>
      </x:c>
      <x:c r="C431" s="37" t="str">
        <x:v>Treasury／FinTech</x:v>
      </x:c>
      <x:c r="D431" s="37" t="str">
        <x:v>風險與控制</x:v>
      </x:c>
      <x:c r="E431" s="37" t="str">
        <x:v>財務、資金、風險、董事會</x:v>
      </x:c>
      <x:c r="F431" s="37" t="str">
        <x:v>財務長、Treasurer、資金人員、風險經理</x:v>
      </x:c>
      <x:c r="G431" s="37" t="str">
        <x:v>現行作法對「彙整集團關係與多類交易曝險」多靠人工彙整、個人經驗或事後處理，難以一致追蹤，造成決策延遲與重工。</x:v>
      </x:c>
      <x:c r="H431" s="37" t="str">
        <x:v>資料／事件接入；彙整集團關係與多類交易曝險；證據與信心呈現；例外分流與人工覆核；避免低估集中度成效追蹤；完整稽核軌跡</x:v>
      </x:c>
      <x:c r="I431" s="37" t="str">
        <x:v>預測與情境模擬；多目標最佳化；不確定性呈現；專門模型焦點：彙整集團關係與多類交易曝險</x:v>
      </x:c>
      <x:c r="J431" s="37" t="str">
        <x:v>定期掃描資料與外部訊號，提出優先序與建議；經核准後同步任務與更新來源系統</x:v>
      </x:c>
      <x:c r="K431" s="37" t="str">
        <x:v>L3 可執行／關鍵核准</x:v>
      </x:c>
      <x:c r="L431" s="37" t="str">
        <x:v>銀行餘額、現金流、應收應付、融資、外匯、利率、信用與交易對手</x:v>
      </x:c>
      <x:c r="M431" s="37" t="str">
        <x:v>ERP、TMS、銀行 API、CRM、採購、風險資料源</x:v>
      </x:c>
      <x:c r="N431" s="37" t="str">
        <x:v>跨國企業需每天整合多銀行、多幣別現金並做融資、避險與風險決策。Demo：匯入一組去識別資料，觸發「彙整集團關係與多類交易曝險」，由系統提出證據、建議與下一步；使用者核准後回寫任務，最後呈現「避免低估集中度」前後差異。</x:v>
      </x:c>
      <x:c r="O431" s="37" t="str">
        <x:v>低</x:v>
      </x:c>
      <x:c r="P431" s="37" t="str">
        <x:v>鄰近既有能力：原有財務可能有帳務與報表；本群聚焦即時流動性、避險決策與交易對手風險。本 App 的獨立邊界是「彙整集團關係與多類交易曝險」，主要產出為「避免低估集中度」，不是一般登錄、查詢或看板。</x:v>
      </x:c>
      <x:c r="Q431" s="38" t="n">
        <x:v>5</x:v>
      </x:c>
      <x:c r="R431" s="38" t="n">
        <x:v>4</x:v>
      </x:c>
      <x:c r="S431" s="38" t="str">
        <x:v>P1</x:v>
      </x:c>
      <x:c r="T431" s="38" t="n">
        <x:v>9</x:v>
      </x:c>
      <x:c r="U431" s="39" t="str">
        <x:v>Wave 2 高價值套件</x:v>
      </x:c>
    </x:row>
    <x:row r="432" ht="86" customHeight="1">
      <x:c r="A432" s="36" t="str">
        <x:v>JV-428</x:v>
      </x:c>
      <x:c r="B432" s="37" t="str">
        <x:v>銀行費用異常稽核員</x:v>
      </x:c>
      <x:c r="C432" s="37" t="str">
        <x:v>Treasury／FinTech</x:v>
      </x:c>
      <x:c r="D432" s="37" t="str">
        <x:v>風險與控制</x:v>
      </x:c>
      <x:c r="E432" s="37" t="str">
        <x:v>財務、資金、風險、董事會</x:v>
      </x:c>
      <x:c r="F432" s="37" t="str">
        <x:v>財務長、Treasurer、資金人員、風險經理</x:v>
      </x:c>
      <x:c r="G432" s="37" t="str">
        <x:v>現行作法對「比對合約費率與實際扣費」多靠人工彙整、個人經驗或事後處理，難以一致追蹤，造成決策延遲與重工。</x:v>
      </x:c>
      <x:c r="H432" s="37" t="str">
        <x:v>資料／事件接入；比對合約費率與實際扣費；證據與信心呈現；例外分流與人工覆核；追回錯收成效追蹤；完整稽核軌跡</x:v>
      </x:c>
      <x:c r="I432" s="37" t="str">
        <x:v>跨文件／跨系統比對；圖譜推理；差異與缺口生成；專門模型焦點：比對合約費率與實際扣費</x:v>
      </x:c>
      <x:c r="J432" s="37" t="str">
        <x:v>以人機協作模式先產生草案與證據包，接受修改後執行核准步驟並建立完整稽核軌跡</x:v>
      </x:c>
      <x:c r="K432" s="37" t="str">
        <x:v>L3 可執行／關鍵核准</x:v>
      </x:c>
      <x:c r="L432" s="37" t="str">
        <x:v>銀行餘額、現金流、應收應付、融資、外匯、利率、信用與交易對手</x:v>
      </x:c>
      <x:c r="M432" s="37" t="str">
        <x:v>ERP、TMS、銀行 API、CRM、採購、風險資料源</x:v>
      </x:c>
      <x:c r="N432" s="37" t="str">
        <x:v>跨國企業需每天整合多銀行、多幣別現金並做融資、避險與風險決策。Demo：匯入一組去識別資料，觸發「比對合約費率與實際扣費」，由系統提出證據、建議與下一步；使用者核准後回寫任務，最後呈現「追回錯收」前後差異。</x:v>
      </x:c>
      <x:c r="O432" s="37" t="str">
        <x:v>低</x:v>
      </x:c>
      <x:c r="P432" s="37" t="str">
        <x:v>鄰近既有能力：原有財務可能有帳務與報表；本群聚焦即時流動性、避險決策與交易對手風險。本 App 的獨立邊界是「比對合約費率與實際扣費」，主要產出為「追回錯收」，不是一般登錄、查詢或看板。</x:v>
      </x:c>
      <x:c r="Q432" s="38" t="n">
        <x:v>5</x:v>
      </x:c>
      <x:c r="R432" s="38" t="n">
        <x:v>4</x:v>
      </x:c>
      <x:c r="S432" s="38" t="str">
        <x:v>P1</x:v>
      </x:c>
      <x:c r="T432" s="38" t="n">
        <x:v>9</x:v>
      </x:c>
      <x:c r="U432" s="39" t="str">
        <x:v>Wave 2 高價值套件</x:v>
      </x:c>
    </x:row>
    <x:row r="433" ht="86" customHeight="1">
      <x:c r="A433" s="36" t="str">
        <x:v>JV-429</x:v>
      </x:c>
      <x:c r="B433" s="37" t="str">
        <x:v>資金操作職責衝突監測器</x:v>
      </x:c>
      <x:c r="C433" s="37" t="str">
        <x:v>Treasury／FinTech</x:v>
      </x:c>
      <x:c r="D433" s="37" t="str">
        <x:v>風險與控制</x:v>
      </x:c>
      <x:c r="E433" s="37" t="str">
        <x:v>財務、資金、風險、董事會</x:v>
      </x:c>
      <x:c r="F433" s="37" t="str">
        <x:v>財務長、Treasurer、資金人員、風險經理</x:v>
      </x:c>
      <x:c r="G433" s="37" t="str">
        <x:v>現行作法對「檢查建單、核准、放行與對帳權限」多靠人工彙整、個人經驗或事後處理，難以一致追蹤，造成決策延遲與重工。</x:v>
      </x:c>
      <x:c r="H433" s="37" t="str">
        <x:v>資料／事件接入；檢查建單、核准、放行與對帳權限；證據與信心呈現；例外分流與人工覆核；強化內控成效追蹤；完整稽核軌跡</x:v>
      </x:c>
      <x:c r="I433" s="37" t="str">
        <x:v>異常偵測；因果線索分析；可解釋的建議排序；專門模型焦點：檢查建單、核准、放行與對帳權限</x:v>
      </x:c>
      <x:c r="J433" s="37" t="str">
        <x:v>依目標自主規劃步驟、呼叫核准工具、遇到例外改走人工佇列，完成後驗證結果並回報</x:v>
      </x:c>
      <x:c r="K433" s="37" t="str">
        <x:v>L3 可執行／關鍵核准</x:v>
      </x:c>
      <x:c r="L433" s="37" t="str">
        <x:v>銀行餘額、現金流、應收應付、融資、外匯、利率、信用與交易對手</x:v>
      </x:c>
      <x:c r="M433" s="37" t="str">
        <x:v>ERP、TMS、銀行 API、CRM、採購、風險資料源</x:v>
      </x:c>
      <x:c r="N433" s="37" t="str">
        <x:v>跨國企業需每天整合多銀行、多幣別現金並做融資、避險與風險決策。Demo：匯入一組去識別資料，觸發「檢查建單、核准、放行與對帳權限」，由系統提出證據、建議與下一步；使用者核准後回寫任務，最後呈現「強化內控」前後差異。</x:v>
      </x:c>
      <x:c r="O433" s="37" t="str">
        <x:v>低</x:v>
      </x:c>
      <x:c r="P433" s="37" t="str">
        <x:v>鄰近既有能力：原有財務可能有帳務與報表；本群聚焦即時流動性、避險決策與交易對手風險。本 App 的獨立邊界是「檢查建單、核准、放行與對帳權限」，主要產出為「強化內控」，不是一般登錄、查詢或看板。</x:v>
      </x:c>
      <x:c r="Q433" s="38" t="n">
        <x:v>5</x:v>
      </x:c>
      <x:c r="R433" s="38" t="n">
        <x:v>4</x:v>
      </x:c>
      <x:c r="S433" s="38" t="str">
        <x:v>P1</x:v>
      </x:c>
      <x:c r="T433" s="38" t="n">
        <x:v>9</x:v>
      </x:c>
      <x:c r="U433" s="39" t="str">
        <x:v>Wave 2 高價值套件</x:v>
      </x:c>
    </x:row>
    <x:row r="434" ht="86" customHeight="1">
      <x:c r="A434" s="36" t="str">
        <x:v>JV-430</x:v>
      </x:c>
      <x:c r="B434" s="37" t="str">
        <x:v>流動性壓力測試工廠</x:v>
      </x:c>
      <x:c r="C434" s="37" t="str">
        <x:v>Treasury／FinTech</x:v>
      </x:c>
      <x:c r="D434" s="37" t="str">
        <x:v>風險與控制</x:v>
      </x:c>
      <x:c r="E434" s="37" t="str">
        <x:v>財務、資金、風險、董事會</x:v>
      </x:c>
      <x:c r="F434" s="37" t="str">
        <x:v>財務長、Treasurer、資金人員、風險經理</x:v>
      </x:c>
      <x:c r="G434" s="37" t="str">
        <x:v>現行作法對「模擬客戶延付、銀行抽貸與市場衝擊」多靠人工彙整、個人經驗或事後處理，難以一致追蹤，造成決策延遲與重工。</x:v>
      </x:c>
      <x:c r="H434" s="37" t="str">
        <x:v>資料／事件接入；模擬客戶延付、銀行抽貸與市場衝擊；證據與信心呈現；例外分流與人工覆核；準備應變成效追蹤；完整稽核軌跡</x:v>
      </x:c>
      <x:c r="I434" s="37" t="str">
        <x:v>RAG 檢索與來源引用；規則＋模型混合判斷；矛盾檢查；專門模型焦點：模擬客戶延付、銀行抽貸與市場衝擊</x:v>
      </x:c>
      <x:c r="J434" s="37" t="str">
        <x:v>與多個專業 Agent 協作拆解任務，保留交接證據、逾時升級並在失敗時安全回滾</x:v>
      </x:c>
      <x:c r="K434" s="37" t="str">
        <x:v>L2 建議／需核准</x:v>
      </x:c>
      <x:c r="L434" s="37" t="str">
        <x:v>銀行餘額、現金流、應收應付、融資、外匯、利率、信用與交易對手</x:v>
      </x:c>
      <x:c r="M434" s="37" t="str">
        <x:v>ERP、TMS、銀行 API、CRM、採購、風險資料源</x:v>
      </x:c>
      <x:c r="N434" s="37" t="str">
        <x:v>跨國企業需每天整合多銀行、多幣別現金並做融資、避險與風險決策。Demo：匯入一組去識別資料，觸發「模擬客戶延付、銀行抽貸與市場衝擊」，由系統提出證據、建議與下一步；使用者核准後回寫任務，最後呈現「準備應變」前後差異。</x:v>
      </x:c>
      <x:c r="O434" s="37" t="str">
        <x:v>中低</x:v>
      </x:c>
      <x:c r="P434" s="37" t="str">
        <x:v>鄰近既有能力：原有財務可能有帳務與報表；本群聚焦即時流動性、避險決策與交易對手風險。本 App 的獨立邊界是「模擬客戶延付、銀行抽貸與市場衝擊」，主要產出為「準備應變」，不是一般登錄、查詢或看板。</x:v>
      </x:c>
      <x:c r="Q434" s="38" t="n">
        <x:v>5</x:v>
      </x:c>
      <x:c r="R434" s="38" t="n">
        <x:v>5</x:v>
      </x:c>
      <x:c r="S434" s="38" t="str">
        <x:v>P1</x:v>
      </x:c>
      <x:c r="T434" s="38" t="n">
        <x:v>11</x:v>
      </x:c>
      <x:c r="U434" s="39" t="str">
        <x:v>Wave 2 高價值套件</x:v>
      </x:c>
    </x:row>
    <x:row r="435" ht="86" customHeight="1">
      <x:c r="A435" s="36" t="str">
        <x:v>JV-431</x:v>
      </x:c>
      <x:c r="B435" s="37" t="str">
        <x:v>動態技能圖譜</x:v>
      </x:c>
      <x:c r="C435" s="37" t="str">
        <x:v>企業學習／人才</x:v>
      </x:c>
      <x:c r="D435" s="37" t="str">
        <x:v>技能情報</x:v>
      </x:c>
      <x:c r="E435" s="37" t="str">
        <x:v>人資、學習發展、各專業部門</x:v>
      </x:c>
      <x:c r="F435" s="37" t="str">
        <x:v>L&amp;D 主管、部門主管、員工、內部講師</x:v>
      </x:c>
      <x:c r="G435" s="37" t="str">
        <x:v>現行作法對「從職務、任務與成果推導實際技能關聯」多靠人工彙整、個人經驗或事後處理，難以一致追蹤，造成決策延遲與重工。</x:v>
      </x:c>
      <x:c r="H435" s="37" t="str">
        <x:v>資料／事件接入；從職務、任務與成果推導實際技能關聯；證據與信心呈現；例外分流與人工覆核；建立共同技能語言成效追蹤；完整稽核軌跡</x:v>
      </x:c>
      <x:c r="I435" s="37" t="str">
        <x:v>語意分類與實體抽取；風險／信心評分；具證據的生成與摘要；專門模型焦點：從職務、任務與成果推導實際技能關聯</x:v>
      </x:c>
      <x:c r="J435" s="37" t="str">
        <x:v>持續監測事件，達門檻後建立案件、蒐集證據、指派責任並追蹤結案；高風險動作需人工核准</x:v>
      </x:c>
      <x:c r="K435" s="37" t="str">
        <x:v>L3 可執行／關鍵核准</x:v>
      </x:c>
      <x:c r="L435" s="37" t="str">
        <x:v>職能模型、工作任務、學習紀錄、績效、內容、專家與職涯意向</x:v>
      </x:c>
      <x:c r="M435" s="37" t="str">
        <x:v>HRM、LMS、專案管理、知識庫、Git/CRM/MES 等工作系統</x:v>
      </x:c>
      <x:c r="N435" s="37" t="str">
        <x:v>企業要讓訓練真正轉成工作能力，並看見未來技能缺口。Demo：匯入一組去識別資料，觸發「從職務、任務與成果推導實際技能關聯」，由系統提出證據、建議與下一步；使用者核准後回寫任務，最後呈現「建立共同技能語言」前後差異。</x:v>
      </x:c>
      <x:c r="O435" s="37" t="str">
        <x:v>中低</x:v>
      </x:c>
      <x:c r="P435" s="37" t="str">
        <x:v>鄰近既有能力：原有 HR/LMS 可能排課；本群聚焦技能證據、工作內學習與能力供需。本 App 的獨立邊界是「從職務、任務與成果推導實際技能關聯」，主要產出為「建立共同技能語言」，不是一般登錄、查詢或看板。</x:v>
      </x:c>
      <x:c r="Q435" s="38" t="n">
        <x:v>4</x:v>
      </x:c>
      <x:c r="R435" s="38" t="n">
        <x:v>2</x:v>
      </x:c>
      <x:c r="S435" s="38" t="str">
        <x:v>P2</x:v>
      </x:c>
      <x:c r="T435" s="38" t="n">
        <x:v>5</x:v>
      </x:c>
      <x:c r="U435" s="39" t="str">
        <x:v>Wave 3 垂直擴充</x:v>
      </x:c>
    </x:row>
    <x:row r="436" ht="86" customHeight="1">
      <x:c r="A436" s="36" t="str">
        <x:v>JV-432</x:v>
      </x:c>
      <x:c r="B436" s="37" t="str">
        <x:v>技能缺口風險雷達</x:v>
      </x:c>
      <x:c r="C436" s="37" t="str">
        <x:v>企業學習／人才</x:v>
      </x:c>
      <x:c r="D436" s="37" t="str">
        <x:v>技能情報</x:v>
      </x:c>
      <x:c r="E436" s="37" t="str">
        <x:v>人資、學習發展、各專業部門</x:v>
      </x:c>
      <x:c r="F436" s="37" t="str">
        <x:v>L&amp;D 主管、部門主管、員工、內部講師</x:v>
      </x:c>
      <x:c r="G436" s="37" t="str">
        <x:v>現行作法對「預測策略與技術變化造成的能力缺口」多靠人工彙整、個人經驗或事後處理，難以一致追蹤，造成決策延遲與重工。</x:v>
      </x:c>
      <x:c r="H436" s="37" t="str">
        <x:v>資料／事件接入；預測策略與技術變化造成的能力缺口；證據與信心呈現；例外分流與人工覆核；提前培育成效追蹤；完整稽核軌跡</x:v>
      </x:c>
      <x:c r="I436" s="37" t="str">
        <x:v>預測與情境模擬；多目標最佳化；不確定性呈現；專門模型焦點：預測策略與技術變化造成的能力缺口</x:v>
      </x:c>
      <x:c r="J436" s="37" t="str">
        <x:v>定期掃描資料與外部訊號，提出優先序與建議；經核准後同步任務與更新來源系統</x:v>
      </x:c>
      <x:c r="K436" s="37" t="str">
        <x:v>L3 可執行／關鍵核准</x:v>
      </x:c>
      <x:c r="L436" s="37" t="str">
        <x:v>職能模型、工作任務、學習紀錄、績效、內容、專家與職涯意向</x:v>
      </x:c>
      <x:c r="M436" s="37" t="str">
        <x:v>HRM、LMS、專案管理、知識庫、Git/CRM/MES 等工作系統</x:v>
      </x:c>
      <x:c r="N436" s="37" t="str">
        <x:v>企業要讓訓練真正轉成工作能力，並看見未來技能缺口。Demo：匯入一組去識別資料，觸發「預測策略與技術變化造成的能力缺口」，由系統提出證據、建議與下一步；使用者核准後回寫任務，最後呈現「提前培育」前後差異。</x:v>
      </x:c>
      <x:c r="O436" s="37" t="str">
        <x:v>低</x:v>
      </x:c>
      <x:c r="P436" s="37" t="str">
        <x:v>鄰近既有能力：原有 HR/LMS 可能排課；本群聚焦技能證據、工作內學習與能力供需。本 App 的獨立邊界是「預測策略與技術變化造成的能力缺口」，主要產出為「提前培育」，不是一般登錄、查詢或看板。</x:v>
      </x:c>
      <x:c r="Q436" s="38" t="n">
        <x:v>4</x:v>
      </x:c>
      <x:c r="R436" s="38" t="n">
        <x:v>3</x:v>
      </x:c>
      <x:c r="S436" s="38" t="str">
        <x:v>P2</x:v>
      </x:c>
      <x:c r="T436" s="38" t="n">
        <x:v>7</x:v>
      </x:c>
      <x:c r="U436" s="39" t="str">
        <x:v>Wave 3 垂直擴充</x:v>
      </x:c>
    </x:row>
    <x:row r="437" ht="86" customHeight="1">
      <x:c r="A437" s="36" t="str">
        <x:v>JV-433</x:v>
      </x:c>
      <x:c r="B437" s="37" t="str">
        <x:v>技能證據驗證器</x:v>
      </x:c>
      <x:c r="C437" s="37" t="str">
        <x:v>企業學習／人才</x:v>
      </x:c>
      <x:c r="D437" s="37" t="str">
        <x:v>技能情報</x:v>
      </x:c>
      <x:c r="E437" s="37" t="str">
        <x:v>人資、學習發展、各專業部門</x:v>
      </x:c>
      <x:c r="F437" s="37" t="str">
        <x:v>L&amp;D 主管、部門主管、員工、內部講師</x:v>
      </x:c>
      <x:c r="G437" s="37" t="str">
        <x:v>現行作法對「以作品、任務與同儕評核驗證能力」多靠人工彙整、個人經驗或事後處理，難以一致追蹤，造成決策延遲與重工。</x:v>
      </x:c>
      <x:c r="H437" s="37" t="str">
        <x:v>資料／事件接入；以作品、任務與同儕評核驗證能力；證據與信心呈現；例外分流與人工覆核；避免只看完課成效追蹤；完整稽核軌跡</x:v>
      </x:c>
      <x:c r="I437" s="37" t="str">
        <x:v>跨文件／跨系統比對；圖譜推理；差異與缺口生成；專門模型焦點：以作品、任務與同儕評核驗證能力</x:v>
      </x:c>
      <x:c r="J437" s="37" t="str">
        <x:v>以人機協作模式先產生草案與證據包，接受修改後執行核准步驟並建立完整稽核軌跡</x:v>
      </x:c>
      <x:c r="K437" s="37" t="str">
        <x:v>L3 可執行／關鍵核准</x:v>
      </x:c>
      <x:c r="L437" s="37" t="str">
        <x:v>職能模型、工作任務、學習紀錄、績效、內容、專家與職涯意向</x:v>
      </x:c>
      <x:c r="M437" s="37" t="str">
        <x:v>HRM、LMS、專案管理、知識庫、Git/CRM/MES 等工作系統</x:v>
      </x:c>
      <x:c r="N437" s="37" t="str">
        <x:v>企業要讓訓練真正轉成工作能力，並看見未來技能缺口。Demo：匯入一組去識別資料，觸發「以作品、任務與同儕評核驗證能力」，由系統提出證據、建議與下一步；使用者核准後回寫任務，最後呈現「避免只看完課」前後差異。</x:v>
      </x:c>
      <x:c r="O437" s="37" t="str">
        <x:v>低</x:v>
      </x:c>
      <x:c r="P437" s="37" t="str">
        <x:v>鄰近既有能力：原有 HR/LMS 可能排課；本群聚焦技能證據、工作內學習與能力供需。本 App 的獨立邊界是「以作品、任務與同儕評核驗證能力」，主要產出為「避免只看完課」，不是一般登錄、查詢或看板。</x:v>
      </x:c>
      <x:c r="Q437" s="38" t="n">
        <x:v>4</x:v>
      </x:c>
      <x:c r="R437" s="38" t="n">
        <x:v>3</x:v>
      </x:c>
      <x:c r="S437" s="38" t="str">
        <x:v>P2</x:v>
      </x:c>
      <x:c r="T437" s="38" t="n">
        <x:v>7</x:v>
      </x:c>
      <x:c r="U437" s="39" t="str">
        <x:v>Wave 3 垂直擴充</x:v>
      </x:c>
    </x:row>
    <x:row r="438" ht="86" customHeight="1">
      <x:c r="A438" s="36" t="str">
        <x:v>JV-434</x:v>
      </x:c>
      <x:c r="B438" s="37" t="str">
        <x:v>隱藏專長發現器</x:v>
      </x:c>
      <x:c r="C438" s="37" t="str">
        <x:v>企業學習／人才</x:v>
      </x:c>
      <x:c r="D438" s="37" t="str">
        <x:v>技能情報</x:v>
      </x:c>
      <x:c r="E438" s="37" t="str">
        <x:v>人資、學習發展、各專業部門</x:v>
      </x:c>
      <x:c r="F438" s="37" t="str">
        <x:v>L&amp;D 主管、部門主管、員工、內部講師</x:v>
      </x:c>
      <x:c r="G438" s="37" t="str">
        <x:v>現行作法對「從跨系統貢獻找出履歷未列的能力」多靠人工彙整、個人經驗或事後處理，難以一致追蹤，造成決策延遲與重工。</x:v>
      </x:c>
      <x:c r="H438" s="37" t="str">
        <x:v>資料／事件接入；從跨系統貢獻找出履歷未列的能力；證據與信心呈現；例外分流與人工覆核；活用內部人才成效追蹤；完整稽核軌跡</x:v>
      </x:c>
      <x:c r="I438" s="37" t="str">
        <x:v>異常偵測；因果線索分析；可解釋的建議排序；專門模型焦點：從跨系統貢獻找出履歷未列的能力</x:v>
      </x:c>
      <x:c r="J438" s="37" t="str">
        <x:v>依目標自主規劃步驟、呼叫核准工具、遇到例外改走人工佇列，完成後驗證結果並回報</x:v>
      </x:c>
      <x:c r="K438" s="37" t="str">
        <x:v>L3 可執行／關鍵核准</x:v>
      </x:c>
      <x:c r="L438" s="37" t="str">
        <x:v>職能模型、工作任務、學習紀錄、績效、內容、專家與職涯意向</x:v>
      </x:c>
      <x:c r="M438" s="37" t="str">
        <x:v>HRM、LMS、專案管理、知識庫、Git/CRM/MES 等工作系統</x:v>
      </x:c>
      <x:c r="N438" s="37" t="str">
        <x:v>企業要讓訓練真正轉成工作能力，並看見未來技能缺口。Demo：匯入一組去識別資料，觸發「從跨系統貢獻找出履歷未列的能力」，由系統提出證據、建議與下一步；使用者核准後回寫任務，最後呈現「活用內部人才」前後差異。</x:v>
      </x:c>
      <x:c r="O438" s="37" t="str">
        <x:v>低</x:v>
      </x:c>
      <x:c r="P438" s="37" t="str">
        <x:v>鄰近既有能力：原有 HR/LMS 可能排課；本群聚焦技能證據、工作內學習與能力供需。本 App 的獨立邊界是「從跨系統貢獻找出履歷未列的能力」，主要產出為「活用內部人才」，不是一般登錄、查詢或看板。</x:v>
      </x:c>
      <x:c r="Q438" s="38" t="n">
        <x:v>3</x:v>
      </x:c>
      <x:c r="R438" s="38" t="n">
        <x:v>3</x:v>
      </x:c>
      <x:c r="S438" s="38" t="str">
        <x:v>P2</x:v>
      </x:c>
      <x:c r="T438" s="38" t="n">
        <x:v>7</x:v>
      </x:c>
      <x:c r="U438" s="39" t="str">
        <x:v>Wave 3 垂直擴充</x:v>
      </x:c>
    </x:row>
    <x:row r="439" ht="86" customHeight="1">
      <x:c r="A439" s="36" t="str">
        <x:v>JV-435</x:v>
      </x:c>
      <x:c r="B439" s="37" t="str">
        <x:v>技能供需情境模擬器</x:v>
      </x:c>
      <x:c r="C439" s="37" t="str">
        <x:v>企業學習／人才</x:v>
      </x:c>
      <x:c r="D439" s="37" t="str">
        <x:v>技能情報</x:v>
      </x:c>
      <x:c r="E439" s="37" t="str">
        <x:v>人資、學習發展、各專業部門</x:v>
      </x:c>
      <x:c r="F439" s="37" t="str">
        <x:v>L&amp;D 主管、部門主管、員工、內部講師</x:v>
      </x:c>
      <x:c r="G439" s="37" t="str">
        <x:v>現行作法對「模擬招募、培訓、外包與自動化組合」多靠人工彙整、個人經驗或事後處理，難以一致追蹤，造成決策延遲與重工。</x:v>
      </x:c>
      <x:c r="H439" s="37" t="str">
        <x:v>資料／事件接入；模擬招募、培訓、外包與自動化組合；證據與信心呈現；例外分流與人工覆核；支援人才投資成效追蹤；完整稽核軌跡</x:v>
      </x:c>
      <x:c r="I439" s="37" t="str">
        <x:v>RAG 檢索與來源引用；規則＋模型混合判斷；矛盾檢查；專門模型焦點：模擬招募、培訓、外包與自動化組合</x:v>
      </x:c>
      <x:c r="J439" s="37" t="str">
        <x:v>與多個專業 Agent 協作拆解任務，保留交接證據、逾時升級並在失敗時安全回滾</x:v>
      </x:c>
      <x:c r="K439" s="37" t="str">
        <x:v>L3 可執行／關鍵核准</x:v>
      </x:c>
      <x:c r="L439" s="37" t="str">
        <x:v>職能模型、工作任務、學習紀錄、績效、內容、專家與職涯意向</x:v>
      </x:c>
      <x:c r="M439" s="37" t="str">
        <x:v>HRM、LMS、專案管理、知識庫、Git/CRM/MES 等工作系統</x:v>
      </x:c>
      <x:c r="N439" s="37" t="str">
        <x:v>企業要讓訓練真正轉成工作能力，並看見未來技能缺口。Demo：匯入一組去識別資料，觸發「模擬招募、培訓、外包與自動化組合」，由系統提出證據、建議與下一步；使用者核准後回寫任務，最後呈現「支援人才投資」前後差異。</x:v>
      </x:c>
      <x:c r="O439" s="37" t="str">
        <x:v>中低</x:v>
      </x:c>
      <x:c r="P439" s="37" t="str">
        <x:v>鄰近既有能力：原有 HR/LMS 可能排課；本群聚焦技能證據、工作內學習與能力供需。本 App 的獨立邊界是「模擬招募、培訓、外包與自動化組合」，主要產出為「支援人才投資」，不是一般登錄、查詢或看板。</x:v>
      </x:c>
      <x:c r="Q439" s="38" t="n">
        <x:v>4</x:v>
      </x:c>
      <x:c r="R439" s="38" t="n">
        <x:v>4</x:v>
      </x:c>
      <x:c r="S439" s="38" t="str">
        <x:v>P2</x:v>
      </x:c>
      <x:c r="T439" s="38" t="n">
        <x:v>9</x:v>
      </x:c>
      <x:c r="U439" s="39" t="str">
        <x:v>Wave 3 垂直擴充</x:v>
      </x:c>
    </x:row>
    <x:row r="440" ht="86" customHeight="1">
      <x:c r="A440" s="36" t="str">
        <x:v>JV-436</x:v>
      </x:c>
      <x:c r="B440" s="37" t="str">
        <x:v>情境式微學習 Agent</x:v>
      </x:c>
      <x:c r="C440" s="37" t="str">
        <x:v>企業學習／人才</x:v>
      </x:c>
      <x:c r="D440" s="37" t="str">
        <x:v>工作內學習</x:v>
      </x:c>
      <x:c r="E440" s="37" t="str">
        <x:v>人資、學習發展、各專業部門</x:v>
      </x:c>
      <x:c r="F440" s="37" t="str">
        <x:v>L&amp;D 主管、部門主管、員工、內部講師</x:v>
      </x:c>
      <x:c r="G440" s="37" t="str">
        <x:v>現行作法對「在任務發生時推送 3–5 分鐘精準內容」多靠人工彙整、個人經驗或事後處理，難以一致追蹤，造成決策延遲與重工。</x:v>
      </x:c>
      <x:c r="H440" s="37" t="str">
        <x:v>資料／事件接入；在任務發生時推送 3–5 分鐘精準內容；證據與信心呈現；例外分流與人工覆核；提高轉化成效追蹤；完整稽核軌跡</x:v>
      </x:c>
      <x:c r="I440" s="37" t="str">
        <x:v>語意分類與實體抽取；風險／信心評分；具證據的生成與摘要；專門模型焦點：在任務發生時推送 3–5 分鐘精準內容</x:v>
      </x:c>
      <x:c r="J440" s="37" t="str">
        <x:v>持續監測事件，達門檻後建立案件、蒐集證據、指派責任並追蹤結案；高風險動作需人工核准</x:v>
      </x:c>
      <x:c r="K440" s="37" t="str">
        <x:v>L3 可執行／關鍵核准</x:v>
      </x:c>
      <x:c r="L440" s="37" t="str">
        <x:v>職能模型、工作任務、學習紀錄、績效、內容、專家與職涯意向</x:v>
      </x:c>
      <x:c r="M440" s="37" t="str">
        <x:v>HRM、LMS、專案管理、知識庫、Git/CRM/MES 等工作系統</x:v>
      </x:c>
      <x:c r="N440" s="37" t="str">
        <x:v>企業要讓訓練真正轉成工作能力，並看見未來技能缺口。Demo：匯入一組去識別資料，觸發「在任務發生時推送 3–5 分鐘精準內容」，由系統提出證據、建議與下一步；使用者核准後回寫任務，最後呈現「提高轉化」前後差異。</x:v>
      </x:c>
      <x:c r="O440" s="37" t="str">
        <x:v>中低</x:v>
      </x:c>
      <x:c r="P440" s="37" t="str">
        <x:v>鄰近既有能力：原有 HR/LMS 可能排課；本群聚焦技能證據、工作內學習與能力供需。本 App 的獨立邊界是「在任務發生時推送 3–5 分鐘精準內容」，主要產出為「提高轉化」，不是一般登錄、查詢或看板。</x:v>
      </x:c>
      <x:c r="Q440" s="38" t="n">
        <x:v>4</x:v>
      </x:c>
      <x:c r="R440" s="38" t="n">
        <x:v>2</x:v>
      </x:c>
      <x:c r="S440" s="38" t="str">
        <x:v>P2</x:v>
      </x:c>
      <x:c r="T440" s="38" t="n">
        <x:v>5</x:v>
      </x:c>
      <x:c r="U440" s="39" t="str">
        <x:v>Wave 3 垂直擴充</x:v>
      </x:c>
    </x:row>
    <x:row r="441" ht="86" customHeight="1">
      <x:c r="A441" s="36" t="str">
        <x:v>JV-437</x:v>
      </x:c>
      <x:c r="B441" s="37" t="str">
        <x:v>錯誤驅動學習教練</x:v>
      </x:c>
      <x:c r="C441" s="37" t="str">
        <x:v>企業學習／人才</x:v>
      </x:c>
      <x:c r="D441" s="37" t="str">
        <x:v>工作內學習</x:v>
      </x:c>
      <x:c r="E441" s="37" t="str">
        <x:v>人資、學習發展、各專業部門</x:v>
      </x:c>
      <x:c r="F441" s="37" t="str">
        <x:v>L&amp;D 主管、部門主管、員工、內部講師</x:v>
      </x:c>
      <x:c r="G441" s="37" t="str">
        <x:v>現行作法對「從工作錯誤建立個人化練習與回饋」多靠人工彙整、個人經驗或事後處理，難以一致追蹤，造成決策延遲與重工。</x:v>
      </x:c>
      <x:c r="H441" s="37" t="str">
        <x:v>資料／事件接入；從工作錯誤建立個人化練習與回饋；證據與信心呈現；例外分流與人工覆核；降低重犯成效追蹤；完整稽核軌跡</x:v>
      </x:c>
      <x:c r="I441" s="37" t="str">
        <x:v>預測與情境模擬；多目標最佳化；不確定性呈現；專門模型焦點：從工作錯誤建立個人化練習與回饋</x:v>
      </x:c>
      <x:c r="J441" s="37" t="str">
        <x:v>定期掃描資料與外部訊號，提出優先序與建議；經核准後同步任務與更新來源系統</x:v>
      </x:c>
      <x:c r="K441" s="37" t="str">
        <x:v>L3 可執行／關鍵核准</x:v>
      </x:c>
      <x:c r="L441" s="37" t="str">
        <x:v>職能模型、工作任務、學習紀錄、績效、內容、專家與職涯意向</x:v>
      </x:c>
      <x:c r="M441" s="37" t="str">
        <x:v>HRM、LMS、專案管理、知識庫、Git/CRM/MES 等工作系統</x:v>
      </x:c>
      <x:c r="N441" s="37" t="str">
        <x:v>企業要讓訓練真正轉成工作能力，並看見未來技能缺口。Demo：匯入一組去識別資料，觸發「從工作錯誤建立個人化練習與回饋」，由系統提出證據、建議與下一步；使用者核准後回寫任務，最後呈現「降低重犯」前後差異。</x:v>
      </x:c>
      <x:c r="O441" s="37" t="str">
        <x:v>低</x:v>
      </x:c>
      <x:c r="P441" s="37" t="str">
        <x:v>鄰近既有能力：原有 HR/LMS 可能排課；本群聚焦技能證據、工作內學習與能力供需。本 App 的獨立邊界是「從工作錯誤建立個人化練習與回饋」，主要產出為「降低重犯」，不是一般登錄、查詢或看板。</x:v>
      </x:c>
      <x:c r="Q441" s="38" t="n">
        <x:v>4</x:v>
      </x:c>
      <x:c r="R441" s="38" t="n">
        <x:v>3</x:v>
      </x:c>
      <x:c r="S441" s="38" t="str">
        <x:v>P2</x:v>
      </x:c>
      <x:c r="T441" s="38" t="n">
        <x:v>7</x:v>
      </x:c>
      <x:c r="U441" s="39" t="str">
        <x:v>Wave 3 垂直擴充</x:v>
      </x:c>
    </x:row>
    <x:row r="442" ht="86" customHeight="1">
      <x:c r="A442" s="36" t="str">
        <x:v>JV-438</x:v>
      </x:c>
      <x:c r="B442" s="37" t="str">
        <x:v>專家影子學習轉譯器</x:v>
      </x:c>
      <x:c r="C442" s="37" t="str">
        <x:v>企業學習／人才</x:v>
      </x:c>
      <x:c r="D442" s="37" t="str">
        <x:v>工作內學習</x:v>
      </x:c>
      <x:c r="E442" s="37" t="str">
        <x:v>人資、學習發展、各專業部門</x:v>
      </x:c>
      <x:c r="F442" s="37" t="str">
        <x:v>L&amp;D 主管、部門主管、員工、內部講師</x:v>
      </x:c>
      <x:c r="G442" s="37" t="str">
        <x:v>現行作法對「把專家操作與判斷轉成可練習案例」多靠人工彙整、個人經驗或事後處理，難以一致追蹤，造成決策延遲與重工。</x:v>
      </x:c>
      <x:c r="H442" s="37" t="str">
        <x:v>資料／事件接入；把專家操作與判斷轉成可練習案例；證據與信心呈現；例外分流與人工覆核；保存隱性知識成效追蹤；完整稽核軌跡</x:v>
      </x:c>
      <x:c r="I442" s="37" t="str">
        <x:v>跨文件／跨系統比對；圖譜推理；差異與缺口生成；專門模型焦點：把專家操作與判斷轉成可練習案例</x:v>
      </x:c>
      <x:c r="J442" s="37" t="str">
        <x:v>以人機協作模式先產生草案與證據包，接受修改後執行核准步驟並建立完整稽核軌跡</x:v>
      </x:c>
      <x:c r="K442" s="37" t="str">
        <x:v>L3 可執行／關鍵核准</x:v>
      </x:c>
      <x:c r="L442" s="37" t="str">
        <x:v>職能模型、工作任務、學習紀錄、績效、內容、專家與職涯意向</x:v>
      </x:c>
      <x:c r="M442" s="37" t="str">
        <x:v>HRM、LMS、專案管理、知識庫、Git/CRM/MES 等工作系統</x:v>
      </x:c>
      <x:c r="N442" s="37" t="str">
        <x:v>企業要讓訓練真正轉成工作能力，並看見未來技能缺口。Demo：匯入一組去識別資料，觸發「把專家操作與判斷轉成可練習案例」，由系統提出證據、建議與下一步；使用者核准後回寫任務，最後呈現「保存隱性知識」前後差異。</x:v>
      </x:c>
      <x:c r="O442" s="37" t="str">
        <x:v>低</x:v>
      </x:c>
      <x:c r="P442" s="37" t="str">
        <x:v>鄰近既有能力：原有 HR/LMS 可能排課；本群聚焦技能證據、工作內學習與能力供需。本 App 的獨立邊界是「把專家操作與判斷轉成可練習案例」，主要產出為「保存隱性知識」，不是一般登錄、查詢或看板。</x:v>
      </x:c>
      <x:c r="Q442" s="38" t="n">
        <x:v>4</x:v>
      </x:c>
      <x:c r="R442" s="38" t="n">
        <x:v>3</x:v>
      </x:c>
      <x:c r="S442" s="38" t="str">
        <x:v>P2</x:v>
      </x:c>
      <x:c r="T442" s="38" t="n">
        <x:v>7</x:v>
      </x:c>
      <x:c r="U442" s="39" t="str">
        <x:v>Wave 3 垂直擴充</x:v>
      </x:c>
    </x:row>
    <x:row r="443" ht="86" customHeight="1">
      <x:c r="A443" s="36" t="str">
        <x:v>JV-439</x:v>
      </x:c>
      <x:c r="B443" s="37" t="str">
        <x:v>技能模擬角色扮演器</x:v>
      </x:c>
      <x:c r="C443" s="37" t="str">
        <x:v>企業學習／人才</x:v>
      </x:c>
      <x:c r="D443" s="37" t="str">
        <x:v>工作內學習</x:v>
      </x:c>
      <x:c r="E443" s="37" t="str">
        <x:v>人資、學習發展、各專業部門</x:v>
      </x:c>
      <x:c r="F443" s="37" t="str">
        <x:v>L&amp;D 主管、部門主管、員工、內部講師</x:v>
      </x:c>
      <x:c r="G443" s="37" t="str">
        <x:v>現行作法對「模擬客戶、主管或事故情境並即時回饋」多靠人工彙整、個人經驗或事後處理，難以一致追蹤，造成決策延遲與重工。</x:v>
      </x:c>
      <x:c r="H443" s="37" t="str">
        <x:v>資料／事件接入；模擬客戶、主管或事故情境並即時回饋；證據與信心呈現；例外分流與人工覆核；安全練習高風險任務成效追蹤；完整稽核軌跡</x:v>
      </x:c>
      <x:c r="I443" s="37" t="str">
        <x:v>異常偵測；因果線索分析；可解釋的建議排序；專門模型焦點：模擬客戶、主管或事故情境並即時回饋</x:v>
      </x:c>
      <x:c r="J443" s="37" t="str">
        <x:v>依目標自主規劃步驟、呼叫核准工具、遇到例外改走人工佇列，完成後驗證結果並回報</x:v>
      </x:c>
      <x:c r="K443" s="37" t="str">
        <x:v>L3 可執行／關鍵核准</x:v>
      </x:c>
      <x:c r="L443" s="37" t="str">
        <x:v>職能模型、工作任務、學習紀錄、績效、內容、專家與職涯意向</x:v>
      </x:c>
      <x:c r="M443" s="37" t="str">
        <x:v>HRM、LMS、專案管理、知識庫、Git/CRM/MES 等工作系統</x:v>
      </x:c>
      <x:c r="N443" s="37" t="str">
        <x:v>企業要讓訓練真正轉成工作能力，並看見未來技能缺口。Demo：匯入一組去識別資料，觸發「模擬客戶、主管或事故情境並即時回饋」，由系統提出證據、建議與下一步；使用者核准後回寫任務，最後呈現「安全練習高風險任務」前後差異。</x:v>
      </x:c>
      <x:c r="O443" s="37" t="str">
        <x:v>低</x:v>
      </x:c>
      <x:c r="P443" s="37" t="str">
        <x:v>鄰近既有能力：原有 HR/LMS 可能排課；本群聚焦技能證據、工作內學習與能力供需。本 App 的獨立邊界是「模擬客戶、主管或事故情境並即時回饋」，主要產出為「安全練習高風險任務」，不是一般登錄、查詢或看板。</x:v>
      </x:c>
      <x:c r="Q443" s="38" t="n">
        <x:v>4</x:v>
      </x:c>
      <x:c r="R443" s="38" t="n">
        <x:v>3</x:v>
      </x:c>
      <x:c r="S443" s="38" t="str">
        <x:v>P2</x:v>
      </x:c>
      <x:c r="T443" s="38" t="n">
        <x:v>7</x:v>
      </x:c>
      <x:c r="U443" s="39" t="str">
        <x:v>Wave 3 垂直擴充</x:v>
      </x:c>
    </x:row>
    <x:row r="444" ht="86" customHeight="1">
      <x:c r="A444" s="36" t="str">
        <x:v>JV-440</x:v>
      </x:c>
      <x:c r="B444" s="37" t="str">
        <x:v>學習後行為轉移追蹤器</x:v>
      </x:c>
      <x:c r="C444" s="37" t="str">
        <x:v>企業學習／人才</x:v>
      </x:c>
      <x:c r="D444" s="37" t="str">
        <x:v>工作內學習</x:v>
      </x:c>
      <x:c r="E444" s="37" t="str">
        <x:v>人資、學習發展、各專業部門</x:v>
      </x:c>
      <x:c r="F444" s="37" t="str">
        <x:v>L&amp;D 主管、部門主管、員工、內部講師</x:v>
      </x:c>
      <x:c r="G444" s="37" t="str">
        <x:v>現行作法對「觀察工作行為是否因訓練改變」多靠人工彙整、個人經驗或事後處理，難以一致追蹤，造成決策延遲與重工。</x:v>
      </x:c>
      <x:c r="H444" s="37" t="str">
        <x:v>資料／事件接入；觀察工作行為是否因訓練改變；證據與信心呈現；例外分流與人工覆核；衡量真實效果成效追蹤；完整稽核軌跡</x:v>
      </x:c>
      <x:c r="I444" s="37" t="str">
        <x:v>RAG 檢索與來源引用；規則＋模型混合判斷；矛盾檢查；專門模型焦點：觀察工作行為是否因訓練改變</x:v>
      </x:c>
      <x:c r="J444" s="37" t="str">
        <x:v>與多個專業 Agent 協作拆解任務，保留交接證據、逾時升級並在失敗時安全回滾</x:v>
      </x:c>
      <x:c r="K444" s="37" t="str">
        <x:v>L3 可執行／關鍵核准</x:v>
      </x:c>
      <x:c r="L444" s="37" t="str">
        <x:v>職能模型、工作任務、學習紀錄、績效、內容、專家與職涯意向</x:v>
      </x:c>
      <x:c r="M444" s="37" t="str">
        <x:v>HRM、LMS、專案管理、知識庫、Git/CRM/MES 等工作系統</x:v>
      </x:c>
      <x:c r="N444" s="37" t="str">
        <x:v>企業要讓訓練真正轉成工作能力，並看見未來技能缺口。Demo：匯入一組去識別資料，觸發「觀察工作行為是否因訓練改變」，由系統提出證據、建議與下一步；使用者核准後回寫任務，最後呈現「衡量真實效果」前後差異。</x:v>
      </x:c>
      <x:c r="O444" s="37" t="str">
        <x:v>中低</x:v>
      </x:c>
      <x:c r="P444" s="37" t="str">
        <x:v>鄰近既有能力：原有 HR/LMS 可能排課；本群聚焦技能證據、工作內學習與能力供需。本 App 的獨立邊界是「觀察工作行為是否因訓練改變」，主要產出為「衡量真實效果」，不是一般登錄、查詢或看板。</x:v>
      </x:c>
      <x:c r="Q444" s="38" t="n">
        <x:v>3</x:v>
      </x:c>
      <x:c r="R444" s="38" t="n">
        <x:v>4</x:v>
      </x:c>
      <x:c r="S444" s="38" t="str">
        <x:v>P2</x:v>
      </x:c>
      <x:c r="T444" s="38" t="n">
        <x:v>9</x:v>
      </x:c>
      <x:c r="U444" s="39" t="str">
        <x:v>Wave 3 垂直擴充</x:v>
      </x:c>
    </x:row>
    <x:row r="445" ht="86" customHeight="1">
      <x:c r="A445" s="36" t="str">
        <x:v>JV-441</x:v>
      </x:c>
      <x:c r="B445" s="37" t="str">
        <x:v>內部機會技能媒合器</x:v>
      </x:c>
      <x:c r="C445" s="37" t="str">
        <x:v>企業學習／人才</x:v>
      </x:c>
      <x:c r="D445" s="37" t="str">
        <x:v>職涯與流動</x:v>
      </x:c>
      <x:c r="E445" s="37" t="str">
        <x:v>人資、學習發展、各專業部門</x:v>
      </x:c>
      <x:c r="F445" s="37" t="str">
        <x:v>L&amp;D 主管、部門主管、員工、內部講師</x:v>
      </x:c>
      <x:c r="G445" s="37" t="str">
        <x:v>現行作法對「以可轉移技能匹配專案、輪調與職缺」多靠人工彙整、個人經驗或事後處理，難以一致追蹤，造成決策延遲與重工。</x:v>
      </x:c>
      <x:c r="H445" s="37" t="str">
        <x:v>資料／事件接入；以可轉移技能匹配專案、輪調與職缺；證據與信心呈現；例外分流與人工覆核；提高內部流動成效追蹤；完整稽核軌跡</x:v>
      </x:c>
      <x:c r="I445" s="37" t="str">
        <x:v>語意分類與實體抽取；風險／信心評分；具證據的生成與摘要；專門模型焦點：以可轉移技能匹配專案、輪調與職缺</x:v>
      </x:c>
      <x:c r="J445" s="37" t="str">
        <x:v>持續監測事件，達門檻後建立案件、蒐集證據、指派責任並追蹤結案；高風險動作需人工核准</x:v>
      </x:c>
      <x:c r="K445" s="37" t="str">
        <x:v>L3 可執行／關鍵核准</x:v>
      </x:c>
      <x:c r="L445" s="37" t="str">
        <x:v>職能模型、工作任務、學習紀錄、績效、內容、專家與職涯意向</x:v>
      </x:c>
      <x:c r="M445" s="37" t="str">
        <x:v>HRM、LMS、專案管理、知識庫、Git/CRM/MES 等工作系統</x:v>
      </x:c>
      <x:c r="N445" s="37" t="str">
        <x:v>企業要讓訓練真正轉成工作能力，並看見未來技能缺口。Demo：匯入一組去識別資料，觸發「以可轉移技能匹配專案、輪調與職缺」，由系統提出證據、建議與下一步；使用者核准後回寫任務，最後呈現「提高內部流動」前後差異。</x:v>
      </x:c>
      <x:c r="O445" s="37" t="str">
        <x:v>中低</x:v>
      </x:c>
      <x:c r="P445" s="37" t="str">
        <x:v>鄰近既有能力：原有 HR/LMS 可能排課；本群聚焦技能證據、工作內學習與能力供需。本 App 的獨立邊界是「以可轉移技能匹配專案、輪調與職缺」，主要產出為「提高內部流動」，不是一般登錄、查詢或看板。</x:v>
      </x:c>
      <x:c r="Q445" s="38" t="n">
        <x:v>4</x:v>
      </x:c>
      <x:c r="R445" s="38" t="n">
        <x:v>2</x:v>
      </x:c>
      <x:c r="S445" s="38" t="str">
        <x:v>P2</x:v>
      </x:c>
      <x:c r="T445" s="38" t="n">
        <x:v>5</x:v>
      </x:c>
      <x:c r="U445" s="39" t="str">
        <x:v>Wave 3 垂直擴充</x:v>
      </x:c>
    </x:row>
    <x:row r="446" ht="86" customHeight="1">
      <x:c r="A446" s="36" t="str">
        <x:v>JV-442</x:v>
      </x:c>
      <x:c r="B446" s="37" t="str">
        <x:v>職涯路徑情境規劃器</x:v>
      </x:c>
      <x:c r="C446" s="37" t="str">
        <x:v>企業學習／人才</x:v>
      </x:c>
      <x:c r="D446" s="37" t="str">
        <x:v>職涯與流動</x:v>
      </x:c>
      <x:c r="E446" s="37" t="str">
        <x:v>人資、學習發展、各專業部門</x:v>
      </x:c>
      <x:c r="F446" s="37" t="str">
        <x:v>L&amp;D 主管、部門主管、員工、內部講師</x:v>
      </x:c>
      <x:c r="G446" s="37" t="str">
        <x:v>現行作法對「比較多條路徑的技能、時間與機會成本」多靠人工彙整、個人經驗或事後處理，難以一致追蹤，造成決策延遲與重工。</x:v>
      </x:c>
      <x:c r="H446" s="37" t="str">
        <x:v>資料／事件接入；比較多條路徑的技能、時間與機會成本；證據與信心呈現；例外分流與人工覆核；支持自主發展成效追蹤；完整稽核軌跡</x:v>
      </x:c>
      <x:c r="I446" s="37" t="str">
        <x:v>預測與情境模擬；多目標最佳化；不確定性呈現；專門模型焦點：比較多條路徑的技能、時間與機會成本</x:v>
      </x:c>
      <x:c r="J446" s="37" t="str">
        <x:v>定期掃描資料與外部訊號，提出優先序與建議；經核准後同步任務與更新來源系統</x:v>
      </x:c>
      <x:c r="K446" s="37" t="str">
        <x:v>L3 可執行／關鍵核准</x:v>
      </x:c>
      <x:c r="L446" s="37" t="str">
        <x:v>職能模型、工作任務、學習紀錄、績效、內容、專家與職涯意向</x:v>
      </x:c>
      <x:c r="M446" s="37" t="str">
        <x:v>HRM、LMS、專案管理、知識庫、Git/CRM/MES 等工作系統</x:v>
      </x:c>
      <x:c r="N446" s="37" t="str">
        <x:v>企業要讓訓練真正轉成工作能力，並看見未來技能缺口。Demo：匯入一組去識別資料，觸發「比較多條路徑的技能、時間與機會成本」，由系統提出證據、建議與下一步；使用者核准後回寫任務，最後呈現「支持自主發展」前後差異。</x:v>
      </x:c>
      <x:c r="O446" s="37" t="str">
        <x:v>低</x:v>
      </x:c>
      <x:c r="P446" s="37" t="str">
        <x:v>鄰近既有能力：原有 HR/LMS 可能排課；本群聚焦技能證據、工作內學習與能力供需。本 App 的獨立邊界是「比較多條路徑的技能、時間與機會成本」，主要產出為「支持自主發展」，不是一般登錄、查詢或看板。</x:v>
      </x:c>
      <x:c r="Q446" s="38" t="n">
        <x:v>4</x:v>
      </x:c>
      <x:c r="R446" s="38" t="n">
        <x:v>3</x:v>
      </x:c>
      <x:c r="S446" s="38" t="str">
        <x:v>P2</x:v>
      </x:c>
      <x:c r="T446" s="38" t="n">
        <x:v>7</x:v>
      </x:c>
      <x:c r="U446" s="39" t="str">
        <x:v>Wave 3 垂直擴充</x:v>
      </x:c>
    </x:row>
    <x:row r="447" ht="86" customHeight="1">
      <x:c r="A447" s="36" t="str">
        <x:v>JV-443</x:v>
      </x:c>
      <x:c r="B447" s="37" t="str">
        <x:v>導師互補媒合器</x:v>
      </x:c>
      <x:c r="C447" s="37" t="str">
        <x:v>企業學習／人才</x:v>
      </x:c>
      <x:c r="D447" s="37" t="str">
        <x:v>職涯與流動</x:v>
      </x:c>
      <x:c r="E447" s="37" t="str">
        <x:v>人資、學習發展、各專業部門</x:v>
      </x:c>
      <x:c r="F447" s="37" t="str">
        <x:v>L&amp;D 主管、部門主管、員工、內部講師</x:v>
      </x:c>
      <x:c r="G447" s="37" t="str">
        <x:v>現行作法對「依目標、經驗、風格與可用時間配對」多靠人工彙整、個人經驗或事後處理，難以一致追蹤，造成決策延遲與重工。</x:v>
      </x:c>
      <x:c r="H447" s="37" t="str">
        <x:v>資料／事件接入；依目標、經驗、風格與可用時間配對；證據與信心呈現；例外分流與人工覆核；提升 mentoring 成效成效追蹤；完整稽核軌跡</x:v>
      </x:c>
      <x:c r="I447" s="37" t="str">
        <x:v>跨文件／跨系統比對；圖譜推理；差異與缺口生成；專門模型焦點：依目標、經驗、風格與可用時間配對</x:v>
      </x:c>
      <x:c r="J447" s="37" t="str">
        <x:v>以人機協作模式先產生草案與證據包，接受修改後執行核准步驟並建立完整稽核軌跡</x:v>
      </x:c>
      <x:c r="K447" s="37" t="str">
        <x:v>L3 可執行／關鍵核准</x:v>
      </x:c>
      <x:c r="L447" s="37" t="str">
        <x:v>職能模型、工作任務、學習紀錄、績效、內容、專家與職涯意向</x:v>
      </x:c>
      <x:c r="M447" s="37" t="str">
        <x:v>HRM、LMS、專案管理、知識庫、Git/CRM/MES 等工作系統</x:v>
      </x:c>
      <x:c r="N447" s="37" t="str">
        <x:v>企業要讓訓練真正轉成工作能力，並看見未來技能缺口。Demo：匯入一組去識別資料，觸發「依目標、經驗、風格與可用時間配對」，由系統提出證據、建議與下一步；使用者核准後回寫任務，最後呈現「提升 mentoring 成效」前後差異。</x:v>
      </x:c>
      <x:c r="O447" s="37" t="str">
        <x:v>低</x:v>
      </x:c>
      <x:c r="P447" s="37" t="str">
        <x:v>鄰近既有能力：原有 HR/LMS 可能排課；本群聚焦技能證據、工作內學習與能力供需。本 App 的獨立邊界是「依目標、經驗、風格與可用時間配對」，主要產出為「提升 mentoring 成效」，不是一般登錄、查詢或看板。</x:v>
      </x:c>
      <x:c r="Q447" s="38" t="n">
        <x:v>4</x:v>
      </x:c>
      <x:c r="R447" s="38" t="n">
        <x:v>3</x:v>
      </x:c>
      <x:c r="S447" s="38" t="str">
        <x:v>P2</x:v>
      </x:c>
      <x:c r="T447" s="38" t="n">
        <x:v>7</x:v>
      </x:c>
      <x:c r="U447" s="39" t="str">
        <x:v>Wave 3 垂直擴充</x:v>
      </x:c>
    </x:row>
    <x:row r="448" ht="86" customHeight="1">
      <x:c r="A448" s="36" t="str">
        <x:v>JV-444</x:v>
      </x:c>
      <x:c r="B448" s="37" t="str">
        <x:v>接班準備度證據板</x:v>
      </x:c>
      <x:c r="C448" s="37" t="str">
        <x:v>企業學習／人才</x:v>
      </x:c>
      <x:c r="D448" s="37" t="str">
        <x:v>職涯與流動</x:v>
      </x:c>
      <x:c r="E448" s="37" t="str">
        <x:v>人資、學習發展、各專業部門</x:v>
      </x:c>
      <x:c r="F448" s="37" t="str">
        <x:v>L&amp;D 主管、部門主管、員工、內部講師</x:v>
      </x:c>
      <x:c r="G448" s="37" t="str">
        <x:v>現行作法對「以關鍵情境與技能證據追蹤準備度」多靠人工彙整、個人經驗或事後處理，難以一致追蹤，造成決策延遲與重工。</x:v>
      </x:c>
      <x:c r="H448" s="37" t="str">
        <x:v>資料／事件接入；以關鍵情境與技能證據追蹤準備度；證據與信心呈現；例外分流與人工覆核；降低主觀判斷成效追蹤；完整稽核軌跡</x:v>
      </x:c>
      <x:c r="I448" s="37" t="str">
        <x:v>異常偵測；因果線索分析；可解釋的建議排序；專門模型焦點：以關鍵情境與技能證據追蹤準備度</x:v>
      </x:c>
      <x:c r="J448" s="37" t="str">
        <x:v>依目標自主規劃步驟、呼叫核准工具、遇到例外改走人工佇列，完成後驗證結果並回報</x:v>
      </x:c>
      <x:c r="K448" s="37" t="str">
        <x:v>L3 可執行／關鍵核准</x:v>
      </x:c>
      <x:c r="L448" s="37" t="str">
        <x:v>職能模型、工作任務、學習紀錄、績效、內容、專家與職涯意向</x:v>
      </x:c>
      <x:c r="M448" s="37" t="str">
        <x:v>HRM、LMS、專案管理、知識庫、Git/CRM/MES 等工作系統</x:v>
      </x:c>
      <x:c r="N448" s="37" t="str">
        <x:v>企業要讓訓練真正轉成工作能力，並看見未來技能缺口。Demo：匯入一組去識別資料，觸發「以關鍵情境與技能證據追蹤準備度」，由系統提出證據、建議與下一步；使用者核准後回寫任務，最後呈現「降低主觀判斷」前後差異。</x:v>
      </x:c>
      <x:c r="O448" s="37" t="str">
        <x:v>低</x:v>
      </x:c>
      <x:c r="P448" s="37" t="str">
        <x:v>鄰近既有能力：原有 HR/LMS 可能排課；本群聚焦技能證據、工作內學習與能力供需。本 App 的獨立邊界是「以關鍵情境與技能證據追蹤準備度」，主要產出為「降低主觀判斷」，不是一般登錄、查詢或看板。</x:v>
      </x:c>
      <x:c r="Q448" s="38" t="n">
        <x:v>4</x:v>
      </x:c>
      <x:c r="R448" s="38" t="n">
        <x:v>3</x:v>
      </x:c>
      <x:c r="S448" s="38" t="str">
        <x:v>P2</x:v>
      </x:c>
      <x:c r="T448" s="38" t="n">
        <x:v>7</x:v>
      </x:c>
      <x:c r="U448" s="39" t="str">
        <x:v>Wave 3 垂直擴充</x:v>
      </x:c>
    </x:row>
    <x:row r="449" ht="86" customHeight="1">
      <x:c r="A449" s="36" t="str">
        <x:v>JV-445</x:v>
      </x:c>
      <x:c r="B449" s="37" t="str">
        <x:v>關鍵技能流失預警器</x:v>
      </x:c>
      <x:c r="C449" s="37" t="str">
        <x:v>企業學習／人才</x:v>
      </x:c>
      <x:c r="D449" s="37" t="str">
        <x:v>職涯與流動</x:v>
      </x:c>
      <x:c r="E449" s="37" t="str">
        <x:v>人資、學習發展、各專業部門</x:v>
      </x:c>
      <x:c r="F449" s="37" t="str">
        <x:v>L&amp;D 主管、部門主管、員工、內部講師</x:v>
      </x:c>
      <x:c r="G449" s="37" t="str">
        <x:v>現行作法對「結合人才風險與知識集中度找高衝擊缺口」多靠人工彙整、個人經驗或事後處理，難以一致追蹤，造成決策延遲與重工。</x:v>
      </x:c>
      <x:c r="H449" s="37" t="str">
        <x:v>資料／事件接入；結合人才風險與知識集中度找高衝擊缺口；證據與信心呈現；例外分流與人工覆核；提前傳承成效追蹤；完整稽核軌跡</x:v>
      </x:c>
      <x:c r="I449" s="37" t="str">
        <x:v>RAG 檢索與來源引用；規則＋模型混合判斷；矛盾檢查；專門模型焦點：結合人才風險與知識集中度找高衝擊缺口</x:v>
      </x:c>
      <x:c r="J449" s="37" t="str">
        <x:v>與多個專業 Agent 協作拆解任務，保留交接證據、逾時升級並在失敗時安全回滾</x:v>
      </x:c>
      <x:c r="K449" s="37" t="str">
        <x:v>L3 可執行／關鍵核准</x:v>
      </x:c>
      <x:c r="L449" s="37" t="str">
        <x:v>職能模型、工作任務、學習紀錄、績效、內容、專家與職涯意向</x:v>
      </x:c>
      <x:c r="M449" s="37" t="str">
        <x:v>HRM、LMS、專案管理、知識庫、Git/CRM/MES 等工作系統</x:v>
      </x:c>
      <x:c r="N449" s="37" t="str">
        <x:v>企業要讓訓練真正轉成工作能力，並看見未來技能缺口。Demo：匯入一組去識別資料，觸發「結合人才風險與知識集中度找高衝擊缺口」，由系統提出證據、建議與下一步；使用者核准後回寫任務，最後呈現「提前傳承」前後差異。</x:v>
      </x:c>
      <x:c r="O449" s="37" t="str">
        <x:v>中低</x:v>
      </x:c>
      <x:c r="P449" s="37" t="str">
        <x:v>鄰近既有能力：原有 HR/LMS 可能排課；本群聚焦技能證據、工作內學習與能力供需。本 App 的獨立邊界是「結合人才風險與知識集中度找高衝擊缺口」，主要產出為「提前傳承」，不是一般登錄、查詢或看板。</x:v>
      </x:c>
      <x:c r="Q449" s="38" t="n">
        <x:v>4</x:v>
      </x:c>
      <x:c r="R449" s="38" t="n">
        <x:v>4</x:v>
      </x:c>
      <x:c r="S449" s="38" t="str">
        <x:v>P2</x:v>
      </x:c>
      <x:c r="T449" s="38" t="n">
        <x:v>9</x:v>
      </x:c>
      <x:c r="U449" s="39" t="str">
        <x:v>Wave 3 垂直擴充</x:v>
      </x:c>
    </x:row>
    <x:row r="450" ht="86" customHeight="1">
      <x:c r="A450" s="36" t="str">
        <x:v>JV-446</x:v>
      </x:c>
      <x:c r="B450" s="37" t="str">
        <x:v>企業搜尋意圖理解器</x:v>
      </x:c>
      <x:c r="C450" s="37" t="str">
        <x:v>Enterprise Search／KM</x:v>
      </x:c>
      <x:c r="D450" s="37" t="str">
        <x:v>搜尋品質</x:v>
      </x:c>
      <x:c r="E450" s="37" t="str">
        <x:v>全公司、知識管理、資訊</x:v>
      </x:c>
      <x:c r="F450" s="37" t="str">
        <x:v>知識工作者、主管、客服、研發、法務</x:v>
      </x:c>
      <x:c r="G450" s="37" t="str">
        <x:v>現行作法對「辨識查人、查事、查政策與查證據等意圖」多靠人工彙整、個人經驗或事後處理，難以一致追蹤，造成決策延遲與重工。</x:v>
      </x:c>
      <x:c r="H450" s="37" t="str">
        <x:v>資料／事件接入；辨識查人、查事、查政策與查證據等意圖；證據與信心呈現；例外分流與人工覆核；提高結果相關性成效追蹤；完整稽核軌跡</x:v>
      </x:c>
      <x:c r="I450" s="37" t="str">
        <x:v>語意分類與實體抽取；風險／信心評分；具證據的生成與摘要；專門模型焦點：辨識查人、查事、查政策與查證據等意圖</x:v>
      </x:c>
      <x:c r="J450" s="37" t="str">
        <x:v>持續監測事件，達門檻後建立案件、蒐集證據、指派責任並追蹤結案；高風險動作需人工核准</x:v>
      </x:c>
      <x:c r="K450" s="37" t="str">
        <x:v>L3 可執行／關鍵核准</x:v>
      </x:c>
      <x:c r="L450" s="37" t="str">
        <x:v>文件、郵件、會議、工單、程式、權限、術語、專家與使用回饋</x:v>
      </x:c>
      <x:c r="M450" s="37" t="str">
        <x:v>DMS、SharePoint、NAS、Email、CRM、ITSM、向量資料庫</x:v>
      </x:c>
      <x:c r="N450" s="37" t="str">
        <x:v>企業資料很多但找不到正確版本、真正專家與過去決策理由。Demo：匯入一組去識別資料，觸發「辨識查人、查事、查政策與查證據等意圖」，由系統提出證據、建議與下一步；使用者核准後回寫任務，最後呈現「提高結果相關性」前後差異。</x:v>
      </x:c>
      <x:c r="O450" s="37" t="str">
        <x:v>中低</x:v>
      </x:c>
      <x:c r="P450" s="37" t="str">
        <x:v>鄰近既有能力：原有知識問答可能只有聊天入口；本群聚焦知識品質、圖譜、專家與決策脈絡。本 App 的獨立邊界是「辨識查人、查事、查政策與查證據等意圖」，主要產出為「提高結果相關性」，不是一般登錄、查詢或看板。</x:v>
      </x:c>
      <x:c r="Q450" s="38" t="n">
        <x:v>5</x:v>
      </x:c>
      <x:c r="R450" s="38" t="n">
        <x:v>2</x:v>
      </x:c>
      <x:c r="S450" s="38" t="str">
        <x:v>P0</x:v>
      </x:c>
      <x:c r="T450" s="38" t="n">
        <x:v>4</x:v>
      </x:c>
      <x:c r="U450" s="39" t="str">
        <x:v>Wave 1 平台底座／旗艦</x:v>
      </x:c>
    </x:row>
    <x:row r="451" ht="86" customHeight="1">
      <x:c r="A451" s="36" t="str">
        <x:v>JV-447</x:v>
      </x:c>
      <x:c r="B451" s="37" t="str">
        <x:v>權限感知跨庫搜尋器</x:v>
      </x:c>
      <x:c r="C451" s="37" t="str">
        <x:v>Enterprise Search／KM</x:v>
      </x:c>
      <x:c r="D451" s="37" t="str">
        <x:v>搜尋品質</x:v>
      </x:c>
      <x:c r="E451" s="37" t="str">
        <x:v>全公司、知識管理、資訊</x:v>
      </x:c>
      <x:c r="F451" s="37" t="str">
        <x:v>知識工作者、主管、客服、研發、法務</x:v>
      </x:c>
      <x:c r="G451" s="37" t="str">
        <x:v>現行作法對「在不洩漏存在性的前提下跨來源搜尋」多靠人工彙整、個人經驗或事後處理，難以一致追蹤，造成決策延遲與重工。</x:v>
      </x:c>
      <x:c r="H451" s="37" t="str">
        <x:v>資料／事件接入；在不洩漏存在性的前提下跨來源搜尋；證據與信心呈現；例外分流與人工覆核；兼顧可用與安全成效追蹤；完整稽核軌跡</x:v>
      </x:c>
      <x:c r="I451" s="37" t="str">
        <x:v>預測與情境模擬；多目標最佳化；不確定性呈現；專門模型焦點：在不洩漏存在性的前提下跨來源搜尋</x:v>
      </x:c>
      <x:c r="J451" s="37" t="str">
        <x:v>定期掃描資料與外部訊號，提出優先序與建議；經核准後同步任務與更新來源系統</x:v>
      </x:c>
      <x:c r="K451" s="37" t="str">
        <x:v>L4 有護欄自主執行</x:v>
      </x:c>
      <x:c r="L451" s="37" t="str">
        <x:v>文件、郵件、會議、工單、程式、權限、術語、專家與使用回饋</x:v>
      </x:c>
      <x:c r="M451" s="37" t="str">
        <x:v>DMS、SharePoint、NAS、Email、CRM、ITSM、向量資料庫</x:v>
      </x:c>
      <x:c r="N451" s="37" t="str">
        <x:v>企業資料很多但找不到正確版本、真正專家與過去決策理由。Demo：匯入一組去識別資料，觸發「在不洩漏存在性的前提下跨來源搜尋」，由系統提出證據、建議與下一步；使用者核准後回寫任務，最後呈現「兼顧可用與安全」前後差異。</x:v>
      </x:c>
      <x:c r="O451" s="37" t="str">
        <x:v>低</x:v>
      </x:c>
      <x:c r="P451" s="37" t="str">
        <x:v>鄰近既有能力：原有知識問答可能只有聊天入口；本群聚焦知識品質、圖譜、專家與決策脈絡。本 App 的獨立邊界是「在不洩漏存在性的前提下跨來源搜尋」，主要產出為「兼顧可用與安全」，不是一般登錄、查詢或看板。</x:v>
      </x:c>
      <x:c r="Q451" s="38" t="n">
        <x:v>5</x:v>
      </x:c>
      <x:c r="R451" s="38" t="n">
        <x:v>3</x:v>
      </x:c>
      <x:c r="S451" s="38" t="str">
        <x:v>P0</x:v>
      </x:c>
      <x:c r="T451" s="38" t="n">
        <x:v>6</x:v>
      </x:c>
      <x:c r="U451" s="39" t="str">
        <x:v>Wave 1 平台底座／旗艦</x:v>
      </x:c>
    </x:row>
    <x:row r="452" ht="86" customHeight="1">
      <x:c r="A452" s="36" t="str">
        <x:v>JV-448</x:v>
      </x:c>
      <x:c r="B452" s="37" t="str">
        <x:v>零結果診斷 Agent</x:v>
      </x:c>
      <x:c r="C452" s="37" t="str">
        <x:v>Enterprise Search／KM</x:v>
      </x:c>
      <x:c r="D452" s="37" t="str">
        <x:v>搜尋品質</x:v>
      </x:c>
      <x:c r="E452" s="37" t="str">
        <x:v>全公司、知識管理、資訊</x:v>
      </x:c>
      <x:c r="F452" s="37" t="str">
        <x:v>知識工作者、主管、客服、研發、法務</x:v>
      </x:c>
      <x:c r="G452" s="37" t="str">
        <x:v>現行作法對「分析缺文件、同義詞、權限或索引問題」多靠人工彙整、個人經驗或事後處理，難以一致追蹤，造成決策延遲與重工。</x:v>
      </x:c>
      <x:c r="H452" s="37" t="str">
        <x:v>資料／事件接入；分析缺文件、同義詞、權限或索引問題；證據與信心呈現；例外分流與人工覆核；持續改善命中成效追蹤；完整稽核軌跡</x:v>
      </x:c>
      <x:c r="I452" s="37" t="str">
        <x:v>跨文件／跨系統比對；圖譜推理；差異與缺口生成；專門模型焦點：分析缺文件、同義詞、權限或索引問題</x:v>
      </x:c>
      <x:c r="J452" s="37" t="str">
        <x:v>以人機協作模式先產生草案與證據包，接受修改後執行核准步驟並建立完整稽核軌跡</x:v>
      </x:c>
      <x:c r="K452" s="37" t="str">
        <x:v>L4 有護欄自主執行</x:v>
      </x:c>
      <x:c r="L452" s="37" t="str">
        <x:v>文件、郵件、會議、工單、程式、權限、術語、專家與使用回饋</x:v>
      </x:c>
      <x:c r="M452" s="37" t="str">
        <x:v>DMS、SharePoint、NAS、Email、CRM、ITSM、向量資料庫</x:v>
      </x:c>
      <x:c r="N452" s="37" t="str">
        <x:v>企業資料很多但找不到正確版本、真正專家與過去決策理由。Demo：匯入一組去識別資料，觸發「分析缺文件、同義詞、權限或索引問題」，由系統提出證據、建議與下一步；使用者核准後回寫任務，最後呈現「持續改善命中」前後差異。</x:v>
      </x:c>
      <x:c r="O452" s="37" t="str">
        <x:v>低</x:v>
      </x:c>
      <x:c r="P452" s="37" t="str">
        <x:v>鄰近既有能力：原有知識問答可能只有聊天入口；本群聚焦知識品質、圖譜、專家與決策脈絡。本 App 的獨立邊界是「分析缺文件、同義詞、權限或索引問題」，主要產出為「持續改善命中」，不是一般登錄、查詢或看板。</x:v>
      </x:c>
      <x:c r="Q452" s="38" t="n">
        <x:v>5</x:v>
      </x:c>
      <x:c r="R452" s="38" t="n">
        <x:v>3</x:v>
      </x:c>
      <x:c r="S452" s="38" t="str">
        <x:v>P0</x:v>
      </x:c>
      <x:c r="T452" s="38" t="n">
        <x:v>6</x:v>
      </x:c>
      <x:c r="U452" s="39" t="str">
        <x:v>Wave 1 平台底座／旗艦</x:v>
      </x:c>
    </x:row>
    <x:row r="453" ht="86" customHeight="1">
      <x:c r="A453" s="36" t="str">
        <x:v>JV-449</x:v>
      </x:c>
      <x:c r="B453" s="37" t="str">
        <x:v>搜尋結果證據排序器</x:v>
      </x:c>
      <x:c r="C453" s="37" t="str">
        <x:v>Enterprise Search／KM</x:v>
      </x:c>
      <x:c r="D453" s="37" t="str">
        <x:v>搜尋品質</x:v>
      </x:c>
      <x:c r="E453" s="37" t="str">
        <x:v>全公司、知識管理、資訊</x:v>
      </x:c>
      <x:c r="F453" s="37" t="str">
        <x:v>知識工作者、主管、客服、研發、法務</x:v>
      </x:c>
      <x:c r="G453" s="37" t="str">
        <x:v>現行作法對「按權威、新鮮、情境與可追溯性排序」多靠人工彙整、個人經驗或事後處理，難以一致追蹤，造成決策延遲與重工。</x:v>
      </x:c>
      <x:c r="H453" s="37" t="str">
        <x:v>資料／事件接入；按權威、新鮮、情境與可追溯性排序；證據與信心呈現；例外分流與人工覆核；先看到可信答案成效追蹤；完整稽核軌跡</x:v>
      </x:c>
      <x:c r="I453" s="37" t="str">
        <x:v>異常偵測；因果線索分析；可解釋的建議排序；專門模型焦點：按權威、新鮮、情境與可追溯性排序</x:v>
      </x:c>
      <x:c r="J453" s="37" t="str">
        <x:v>依目標自主規劃步驟、呼叫核准工具、遇到例外改走人工佇列，完成後驗證結果並回報</x:v>
      </x:c>
      <x:c r="K453" s="37" t="str">
        <x:v>L4 有護欄自主執行</x:v>
      </x:c>
      <x:c r="L453" s="37" t="str">
        <x:v>文件、郵件、會議、工單、程式、權限、術語、專家與使用回饋</x:v>
      </x:c>
      <x:c r="M453" s="37" t="str">
        <x:v>DMS、SharePoint、NAS、Email、CRM、ITSM、向量資料庫</x:v>
      </x:c>
      <x:c r="N453" s="37" t="str">
        <x:v>企業資料很多但找不到正確版本、真正專家與過去決策理由。Demo：匯入一組去識別資料，觸發「按權威、新鮮、情境與可追溯性排序」，由系統提出證據、建議與下一步；使用者核准後回寫任務，最後呈現「先看到可信答案」前後差異。</x:v>
      </x:c>
      <x:c r="O453" s="37" t="str">
        <x:v>低</x:v>
      </x:c>
      <x:c r="P453" s="37" t="str">
        <x:v>鄰近既有能力：原有知識問答可能只有聊天入口；本群聚焦知識品質、圖譜、專家與決策脈絡。本 App 的獨立邊界是「按權威、新鮮、情境與可追溯性排序」，主要產出為「先看到可信答案」，不是一般登錄、查詢或看板。</x:v>
      </x:c>
      <x:c r="Q453" s="38" t="n">
        <x:v>4</x:v>
      </x:c>
      <x:c r="R453" s="38" t="n">
        <x:v>3</x:v>
      </x:c>
      <x:c r="S453" s="38" t="str">
        <x:v>P0</x:v>
      </x:c>
      <x:c r="T453" s="38" t="n">
        <x:v>6</x:v>
      </x:c>
      <x:c r="U453" s="39" t="str">
        <x:v>Wave 1 平台底座／旗艦</x:v>
      </x:c>
    </x:row>
    <x:row r="454" ht="86" customHeight="1">
      <x:c r="A454" s="36" t="str">
        <x:v>JV-450</x:v>
      </x:c>
      <x:c r="B454" s="37" t="str">
        <x:v>企業術語歧義消解器</x:v>
      </x:c>
      <x:c r="C454" s="37" t="str">
        <x:v>Enterprise Search／KM</x:v>
      </x:c>
      <x:c r="D454" s="37" t="str">
        <x:v>搜尋品質</x:v>
      </x:c>
      <x:c r="E454" s="37" t="str">
        <x:v>全公司、知識管理、資訊</x:v>
      </x:c>
      <x:c r="F454" s="37" t="str">
        <x:v>知識工作者、主管、客服、研發、法務</x:v>
      </x:c>
      <x:c r="G454" s="37" t="str">
        <x:v>現行作法對「依部門與上下文判斷縮寫及同名詞」多靠人工彙整、個人經驗或事後處理，難以一致追蹤，造成決策延遲與重工。</x:v>
      </x:c>
      <x:c r="H454" s="37" t="str">
        <x:v>資料／事件接入；依部門與上下文判斷縮寫及同名詞；證據與信心呈現；例外分流與人工覆核；降低誤找成效追蹤；完整稽核軌跡</x:v>
      </x:c>
      <x:c r="I454" s="37" t="str">
        <x:v>RAG 檢索與來源引用；規則＋模型混合判斷；矛盾檢查；專門模型焦點：依部門與上下文判斷縮寫及同名詞</x:v>
      </x:c>
      <x:c r="J454" s="37" t="str">
        <x:v>與多個專業 Agent 協作拆解任務，保留交接證據、逾時升級並在失敗時安全回滾</x:v>
      </x:c>
      <x:c r="K454" s="37" t="str">
        <x:v>L3 可執行／關鍵核准</x:v>
      </x:c>
      <x:c r="L454" s="37" t="str">
        <x:v>文件、郵件、會議、工單、程式、權限、術語、專家與使用回饋</x:v>
      </x:c>
      <x:c r="M454" s="37" t="str">
        <x:v>DMS、SharePoint、NAS、Email、CRM、ITSM、向量資料庫</x:v>
      </x:c>
      <x:c r="N454" s="37" t="str">
        <x:v>企業資料很多但找不到正確版本、真正專家與過去決策理由。Demo：匯入一組去識別資料，觸發「依部門與上下文判斷縮寫及同名詞」，由系統提出證據、建議與下一步；使用者核准後回寫任務，最後呈現「降低誤找」前後差異。</x:v>
      </x:c>
      <x:c r="O454" s="37" t="str">
        <x:v>中低</x:v>
      </x:c>
      <x:c r="P454" s="37" t="str">
        <x:v>鄰近既有能力：原有知識問答可能只有聊天入口；本群聚焦知識品質、圖譜、專家與決策脈絡。本 App 的獨立邊界是「依部門與上下文判斷縮寫及同名詞」，主要產出為「降低誤找」，不是一般登錄、查詢或看板。</x:v>
      </x:c>
      <x:c r="Q454" s="38" t="n">
        <x:v>5</x:v>
      </x:c>
      <x:c r="R454" s="38" t="n">
        <x:v>4</x:v>
      </x:c>
      <x:c r="S454" s="38" t="str">
        <x:v>P0</x:v>
      </x:c>
      <x:c r="T454" s="38" t="n">
        <x:v>8</x:v>
      </x:c>
      <x:c r="U454" s="39" t="str">
        <x:v>Wave 1 平台底座／旗艦</x:v>
      </x:c>
    </x:row>
    <x:row r="455" ht="86" customHeight="1">
      <x:c r="A455" s="36" t="str">
        <x:v>JV-451</x:v>
      </x:c>
      <x:c r="B455" s="37" t="str">
        <x:v>企業 Knowledge Graph Builder</x:v>
      </x:c>
      <x:c r="C455" s="37" t="str">
        <x:v>Enterprise Search／KM</x:v>
      </x:c>
      <x:c r="D455" s="37" t="str">
        <x:v>知識圖譜</x:v>
      </x:c>
      <x:c r="E455" s="37" t="str">
        <x:v>全公司、知識管理、資訊</x:v>
      </x:c>
      <x:c r="F455" s="37" t="str">
        <x:v>知識工作者、主管、客服、研發、法務</x:v>
      </x:c>
      <x:c r="G455" s="37" t="str">
        <x:v>現行作法對「從文件與系統建立人、事、物、規則關係」多靠人工彙整、個人經驗或事後處理，難以一致追蹤，造成決策延遲與重工。</x:v>
      </x:c>
      <x:c r="H455" s="37" t="str">
        <x:v>資料／事件接入；從文件與系統建立人、事、物、規則關係；證據與信心呈現；例外分流與人工覆核；支援關聯推理成效追蹤；完整稽核軌跡</x:v>
      </x:c>
      <x:c r="I455" s="37" t="str">
        <x:v>語意分類與實體抽取；風險／信心評分；具證據的生成與摘要；專門模型焦點：從文件與系統建立人、事、物、規則關係</x:v>
      </x:c>
      <x:c r="J455" s="37" t="str">
        <x:v>持續監測事件，達門檻後建立案件、蒐集證據、指派責任並追蹤結案；高風險動作需人工核准</x:v>
      </x:c>
      <x:c r="K455" s="37" t="str">
        <x:v>L3 可執行／關鍵核准</x:v>
      </x:c>
      <x:c r="L455" s="37" t="str">
        <x:v>文件、郵件、會議、工單、程式、權限、術語、專家與使用回饋</x:v>
      </x:c>
      <x:c r="M455" s="37" t="str">
        <x:v>DMS、SharePoint、NAS、Email、CRM、ITSM、向量資料庫</x:v>
      </x:c>
      <x:c r="N455" s="37" t="str">
        <x:v>企業資料很多但找不到正確版本、真正專家與過去決策理由。Demo：匯入一組去識別資料，觸發「從文件與系統建立人、事、物、規則關係」，由系統提出證據、建議與下一步；使用者核准後回寫任務，最後呈現「支援關聯推理」前後差異。</x:v>
      </x:c>
      <x:c r="O455" s="37" t="str">
        <x:v>中低</x:v>
      </x:c>
      <x:c r="P455" s="37" t="str">
        <x:v>鄰近既有能力：原有知識問答可能只有聊天入口；本群聚焦知識品質、圖譜、專家與決策脈絡。本 App 的獨立邊界是「從文件與系統建立人、事、物、規則關係」，主要產出為「支援關聯推理」，不是一般登錄、查詢或看板。</x:v>
      </x:c>
      <x:c r="Q455" s="38" t="n">
        <x:v>5</x:v>
      </x:c>
      <x:c r="R455" s="38" t="n">
        <x:v>2</x:v>
      </x:c>
      <x:c r="S455" s="38" t="str">
        <x:v>P1</x:v>
      </x:c>
      <x:c r="T455" s="38" t="n">
        <x:v>5</x:v>
      </x:c>
      <x:c r="U455" s="39" t="str">
        <x:v>Wave 2 高價值套件</x:v>
      </x:c>
    </x:row>
    <x:row r="456" ht="86" customHeight="1">
      <x:c r="A456" s="36" t="str">
        <x:v>JV-452</x:v>
      </x:c>
      <x:c r="B456" s="37" t="str">
        <x:v>GraphRAG 路徑解釋器</x:v>
      </x:c>
      <x:c r="C456" s="37" t="str">
        <x:v>Enterprise Search／KM</x:v>
      </x:c>
      <x:c r="D456" s="37" t="str">
        <x:v>知識圖譜</x:v>
      </x:c>
      <x:c r="E456" s="37" t="str">
        <x:v>全公司、知識管理、資訊</x:v>
      </x:c>
      <x:c r="F456" s="37" t="str">
        <x:v>知識工作者、主管、客服、研發、法務</x:v>
      </x:c>
      <x:c r="G456" s="37" t="str">
        <x:v>現行作法對「展示答案經過哪些實體與文件路徑」多靠人工彙整、個人經驗或事後處理，難以一致追蹤，造成決策延遲與重工。</x:v>
      </x:c>
      <x:c r="H456" s="37" t="str">
        <x:v>資料／事件接入；展示答案經過哪些實體與文件路徑；證據與信心呈現；例外分流與人工覆核；提升可理解性成效追蹤；完整稽核軌跡</x:v>
      </x:c>
      <x:c r="I456" s="37" t="str">
        <x:v>預測與情境模擬；多目標最佳化；不確定性呈現；專門模型焦點：展示答案經過哪些實體與文件路徑</x:v>
      </x:c>
      <x:c r="J456" s="37" t="str">
        <x:v>定期掃描資料與外部訊號，提出優先序與建議；經核准後同步任務與更新來源系統</x:v>
      </x:c>
      <x:c r="K456" s="37" t="str">
        <x:v>L4 有護欄自主執行</x:v>
      </x:c>
      <x:c r="L456" s="37" t="str">
        <x:v>文件、郵件、會議、工單、程式、權限、術語、專家與使用回饋</x:v>
      </x:c>
      <x:c r="M456" s="37" t="str">
        <x:v>DMS、SharePoint、NAS、Email、CRM、ITSM、向量資料庫</x:v>
      </x:c>
      <x:c r="N456" s="37" t="str">
        <x:v>企業資料很多但找不到正確版本、真正專家與過去決策理由。Demo：匯入一組去識別資料，觸發「展示答案經過哪些實體與文件路徑」，由系統提出證據、建議與下一步；使用者核准後回寫任務，最後呈現「提升可理解性」前後差異。</x:v>
      </x:c>
      <x:c r="O456" s="37" t="str">
        <x:v>低</x:v>
      </x:c>
      <x:c r="P456" s="37" t="str">
        <x:v>鄰近既有能力：原有知識問答可能只有聊天入口；本群聚焦知識品質、圖譜、專家與決策脈絡。本 App 的獨立邊界是「展示答案經過哪些實體與文件路徑」，主要產出為「提升可理解性」，不是一般登錄、查詢或看板。</x:v>
      </x:c>
      <x:c r="Q456" s="38" t="n">
        <x:v>5</x:v>
      </x:c>
      <x:c r="R456" s="38" t="n">
        <x:v>3</x:v>
      </x:c>
      <x:c r="S456" s="38" t="str">
        <x:v>P0</x:v>
      </x:c>
      <x:c r="T456" s="38" t="n">
        <x:v>6</x:v>
      </x:c>
      <x:c r="U456" s="39" t="str">
        <x:v>Wave 1 平台底座／旗艦</x:v>
      </x:c>
    </x:row>
    <x:row r="457" ht="86" customHeight="1">
      <x:c r="A457" s="36" t="str">
        <x:v>JV-453</x:v>
      </x:c>
      <x:c r="B457" s="37" t="str">
        <x:v>知識矛盾偵測器</x:v>
      </x:c>
      <x:c r="C457" s="37" t="str">
        <x:v>Enterprise Search／KM</x:v>
      </x:c>
      <x:c r="D457" s="37" t="str">
        <x:v>知識圖譜</x:v>
      </x:c>
      <x:c r="E457" s="37" t="str">
        <x:v>全公司、知識管理、資訊</x:v>
      </x:c>
      <x:c r="F457" s="37" t="str">
        <x:v>知識工作者、主管、客服、研發、法務</x:v>
      </x:c>
      <x:c r="G457" s="37" t="str">
        <x:v>現行作法對「發現跨文件規則與事實互相衝突」多靠人工彙整、個人經驗或事後處理，難以一致追蹤，造成決策延遲與重工。</x:v>
      </x:c>
      <x:c r="H457" s="37" t="str">
        <x:v>資料／事件接入；發現跨文件規則與事實互相衝突；證據與信心呈現；例外分流與人工覆核；觸發裁決成效追蹤；完整稽核軌跡</x:v>
      </x:c>
      <x:c r="I457" s="37" t="str">
        <x:v>跨文件／跨系統比對；圖譜推理；差異與缺口生成；專門模型焦點：發現跨文件規則與事實互相衝突</x:v>
      </x:c>
      <x:c r="J457" s="37" t="str">
        <x:v>以人機協作模式先產生草案與證據包，接受修改後執行核准步驟並建立完整稽核軌跡</x:v>
      </x:c>
      <x:c r="K457" s="37" t="str">
        <x:v>L4 有護欄自主執行</x:v>
      </x:c>
      <x:c r="L457" s="37" t="str">
        <x:v>文件、郵件、會議、工單、程式、權限、術語、專家與使用回饋</x:v>
      </x:c>
      <x:c r="M457" s="37" t="str">
        <x:v>DMS、SharePoint、NAS、Email、CRM、ITSM、向量資料庫</x:v>
      </x:c>
      <x:c r="N457" s="37" t="str">
        <x:v>企業資料很多但找不到正確版本、真正專家與過去決策理由。Demo：匯入一組去識別資料，觸發「發現跨文件規則與事實互相衝突」，由系統提出證據、建議與下一步；使用者核准後回寫任務，最後呈現「觸發裁決」前後差異。</x:v>
      </x:c>
      <x:c r="O457" s="37" t="str">
        <x:v>低</x:v>
      </x:c>
      <x:c r="P457" s="37" t="str">
        <x:v>鄰近既有能力：原有知識問答可能只有聊天入口；本群聚焦知識品質、圖譜、專家與決策脈絡。本 App 的獨立邊界是「發現跨文件規則與事實互相衝突」，主要產出為「觸發裁決」，不是一般登錄、查詢或看板。</x:v>
      </x:c>
      <x:c r="Q457" s="38" t="n">
        <x:v>5</x:v>
      </x:c>
      <x:c r="R457" s="38" t="n">
        <x:v>3</x:v>
      </x:c>
      <x:c r="S457" s="38" t="str">
        <x:v>P0</x:v>
      </x:c>
      <x:c r="T457" s="38" t="n">
        <x:v>6</x:v>
      </x:c>
      <x:c r="U457" s="39" t="str">
        <x:v>Wave 1 平台底座／旗艦</x:v>
      </x:c>
    </x:row>
    <x:row r="458" ht="86" customHeight="1">
      <x:c r="A458" s="36" t="str">
        <x:v>JV-454</x:v>
      </x:c>
      <x:c r="B458" s="37" t="str">
        <x:v>知識缺口雷達</x:v>
      </x:c>
      <x:c r="C458" s="37" t="str">
        <x:v>Enterprise Search／KM</x:v>
      </x:c>
      <x:c r="D458" s="37" t="str">
        <x:v>知識圖譜</x:v>
      </x:c>
      <x:c r="E458" s="37" t="str">
        <x:v>全公司、知識管理、資訊</x:v>
      </x:c>
      <x:c r="F458" s="37" t="str">
        <x:v>知識工作者、主管、客服、研發、法務</x:v>
      </x:c>
      <x:c r="G458" s="37" t="str">
        <x:v>現行作法對「從重複提問與失敗搜尋找缺少內容」多靠人工彙整、個人經驗或事後處理，難以一致追蹤，造成決策延遲與重工。</x:v>
      </x:c>
      <x:c r="H458" s="37" t="str">
        <x:v>資料／事件接入；從重複提問與失敗搜尋找缺少內容；證據與信心呈現；例外分流與人工覆核；指引建設成效追蹤；完整稽核軌跡</x:v>
      </x:c>
      <x:c r="I458" s="37" t="str">
        <x:v>異常偵測；因果線索分析；可解釋的建議排序；專門模型焦點：從重複提問與失敗搜尋找缺少內容</x:v>
      </x:c>
      <x:c r="J458" s="37" t="str">
        <x:v>依目標自主規劃步驟、呼叫核准工具、遇到例外改走人工佇列，完成後驗證結果並回報</x:v>
      </x:c>
      <x:c r="K458" s="37" t="str">
        <x:v>L3 可執行／關鍵核准</x:v>
      </x:c>
      <x:c r="L458" s="37" t="str">
        <x:v>文件、郵件、會議、工單、程式、權限、術語、專家與使用回饋</x:v>
      </x:c>
      <x:c r="M458" s="37" t="str">
        <x:v>DMS、SharePoint、NAS、Email、CRM、ITSM、向量資料庫</x:v>
      </x:c>
      <x:c r="N458" s="37" t="str">
        <x:v>企業資料很多但找不到正確版本、真正專家與過去決策理由。Demo：匯入一組去識別資料，觸發「從重複提問與失敗搜尋找缺少內容」，由系統提出證據、建議與下一步；使用者核准後回寫任務，最後呈現「指引建設」前後差異。</x:v>
      </x:c>
      <x:c r="O458" s="37" t="str">
        <x:v>低</x:v>
      </x:c>
      <x:c r="P458" s="37" t="str">
        <x:v>鄰近既有能力：原有知識問答可能只有聊天入口；本群聚焦知識品質、圖譜、專家與決策脈絡。本 App 的獨立邊界是「從重複提問與失敗搜尋找缺少內容」，主要產出為「指引建設」，不是一般登錄、查詢或看板。</x:v>
      </x:c>
      <x:c r="Q458" s="38" t="n">
        <x:v>5</x:v>
      </x:c>
      <x:c r="R458" s="38" t="n">
        <x:v>3</x:v>
      </x:c>
      <x:c r="S458" s="38" t="str">
        <x:v>P1</x:v>
      </x:c>
      <x:c r="T458" s="38" t="n">
        <x:v>7</x:v>
      </x:c>
      <x:c r="U458" s="39" t="str">
        <x:v>Wave 2 高價值套件</x:v>
      </x:c>
    </x:row>
    <x:row r="459" ht="86" customHeight="1">
      <x:c r="A459" s="36" t="str">
        <x:v>JV-455</x:v>
      </x:c>
      <x:c r="B459" s="37" t="str">
        <x:v>實體合併仲裁台</x:v>
      </x:c>
      <x:c r="C459" s="37" t="str">
        <x:v>Enterprise Search／KM</x:v>
      </x:c>
      <x:c r="D459" s="37" t="str">
        <x:v>知識圖譜</x:v>
      </x:c>
      <x:c r="E459" s="37" t="str">
        <x:v>全公司、知識管理、資訊</x:v>
      </x:c>
      <x:c r="F459" s="37" t="str">
        <x:v>知識工作者、主管、客服、研發、法務</x:v>
      </x:c>
      <x:c r="G459" s="37" t="str">
        <x:v>現行作法對「處理同人同物異名與錯誤合併」多靠人工彙整、個人經驗或事後處理，難以一致追蹤，造成決策延遲與重工。</x:v>
      </x:c>
      <x:c r="H459" s="37" t="str">
        <x:v>資料／事件接入；處理同人同物異名與錯誤合併；證據與信心呈現；例外分流與人工覆核；維持圖譜品質成效追蹤；完整稽核軌跡</x:v>
      </x:c>
      <x:c r="I459" s="37" t="str">
        <x:v>RAG 檢索與來源引用；規則＋模型混合判斷；矛盾檢查；專門模型焦點：處理同人同物異名與錯誤合併</x:v>
      </x:c>
      <x:c r="J459" s="37" t="str">
        <x:v>與多個專業 Agent 協作拆解任務，保留交接證據、逾時升級並在失敗時安全回滾</x:v>
      </x:c>
      <x:c r="K459" s="37" t="str">
        <x:v>L3 可執行／關鍵核准</x:v>
      </x:c>
      <x:c r="L459" s="37" t="str">
        <x:v>文件、郵件、會議、工單、程式、權限、術語、專家與使用回饋</x:v>
      </x:c>
      <x:c r="M459" s="37" t="str">
        <x:v>DMS、SharePoint、NAS、Email、CRM、ITSM、向量資料庫</x:v>
      </x:c>
      <x:c r="N459" s="37" t="str">
        <x:v>企業資料很多但找不到正確版本、真正專家與過去決策理由。Demo：匯入一組去識別資料，觸發「處理同人同物異名與錯誤合併」，由系統提出證據、建議與下一步；使用者核准後回寫任務，最後呈現「維持圖譜品質」前後差異。</x:v>
      </x:c>
      <x:c r="O459" s="37" t="str">
        <x:v>中低</x:v>
      </x:c>
      <x:c r="P459" s="37" t="str">
        <x:v>鄰近既有能力：原有知識問答可能只有聊天入口；本群聚焦知識品質、圖譜、專家與決策脈絡。本 App 的獨立邊界是「處理同人同物異名與錯誤合併」，主要產出為「維持圖譜品質」，不是一般登錄、查詢或看板。</x:v>
      </x:c>
      <x:c r="Q459" s="38" t="n">
        <x:v>4</x:v>
      </x:c>
      <x:c r="R459" s="38" t="n">
        <x:v>4</x:v>
      </x:c>
      <x:c r="S459" s="38" t="str">
        <x:v>P0</x:v>
      </x:c>
      <x:c r="T459" s="38" t="n">
        <x:v>8</x:v>
      </x:c>
      <x:c r="U459" s="39" t="str">
        <x:v>Wave 1 平台底座／旗艦</x:v>
      </x:c>
    </x:row>
    <x:row r="460" ht="86" customHeight="1">
      <x:c r="A460" s="36" t="str">
        <x:v>JV-456</x:v>
      </x:c>
      <x:c r="B460" s="37" t="str">
        <x:v>企業 Expert Finder</x:v>
      </x:c>
      <x:c r="C460" s="37" t="str">
        <x:v>Enterprise Search／KM</x:v>
      </x:c>
      <x:c r="D460" s="37" t="str">
        <x:v>專家與決策</x:v>
      </x:c>
      <x:c r="E460" s="37" t="str">
        <x:v>全公司、知識管理、資訊</x:v>
      </x:c>
      <x:c r="F460" s="37" t="str">
        <x:v>知識工作者、主管、客服、研發、法務</x:v>
      </x:c>
      <x:c r="G460" s="37" t="str">
        <x:v>現行作法對「依實際貢獻、近期度與問題情境推薦專家」多靠人工彙整、個人經驗或事後處理，難以一致追蹤，造成決策延遲與重工。</x:v>
      </x:c>
      <x:c r="H460" s="37" t="str">
        <x:v>資料／事件接入；依實際貢獻、近期度與問題情境推薦專家；證據與信心呈現；例外分流與人工覆核；快速找到對的人成效追蹤；完整稽核軌跡</x:v>
      </x:c>
      <x:c r="I460" s="37" t="str">
        <x:v>語意分類與實體抽取；風險／信心評分；具證據的生成與摘要；專門模型焦點：依實際貢獻、近期度與問題情境推薦專家</x:v>
      </x:c>
      <x:c r="J460" s="37" t="str">
        <x:v>持續監測事件，達門檻後建立案件、蒐集證據、指派責任並追蹤結案；高風險動作需人工核准</x:v>
      </x:c>
      <x:c r="K460" s="37" t="str">
        <x:v>L3 可執行／關鍵核准</x:v>
      </x:c>
      <x:c r="L460" s="37" t="str">
        <x:v>文件、郵件、會議、工單、程式、權限、術語、專家與使用回饋</x:v>
      </x:c>
      <x:c r="M460" s="37" t="str">
        <x:v>DMS、SharePoint、NAS、Email、CRM、ITSM、向量資料庫</x:v>
      </x:c>
      <x:c r="N460" s="37" t="str">
        <x:v>企業資料很多但找不到正確版本、真正專家與過去決策理由。Demo：匯入一組去識別資料，觸發「依實際貢獻、近期度與問題情境推薦專家」，由系統提出證據、建議與下一步；使用者核准後回寫任務，最後呈現「快速找到對的人」前後差異。</x:v>
      </x:c>
      <x:c r="O460" s="37" t="str">
        <x:v>中低</x:v>
      </x:c>
      <x:c r="P460" s="37" t="str">
        <x:v>鄰近既有能力：原有知識問答可能只有聊天入口；本群聚焦知識品質、圖譜、專家與決策脈絡。本 App 的獨立邊界是「依實際貢獻、近期度與問題情境推薦專家」，主要產出為「快速找到對的人」，不是一般登錄、查詢或看板。</x:v>
      </x:c>
      <x:c r="Q460" s="38" t="n">
        <x:v>5</x:v>
      </x:c>
      <x:c r="R460" s="38" t="n">
        <x:v>2</x:v>
      </x:c>
      <x:c r="S460" s="38" t="str">
        <x:v>P0</x:v>
      </x:c>
      <x:c r="T460" s="38" t="n">
        <x:v>4</x:v>
      </x:c>
      <x:c r="U460" s="39" t="str">
        <x:v>Wave 1 平台底座／旗艦</x:v>
      </x:c>
    </x:row>
    <x:row r="461" ht="86" customHeight="1">
      <x:c r="A461" s="36" t="str">
        <x:v>JV-457</x:v>
      </x:c>
      <x:c r="B461" s="37" t="str">
        <x:v>專家負載與替代者地圖</x:v>
      </x:c>
      <x:c r="C461" s="37" t="str">
        <x:v>Enterprise Search／KM</x:v>
      </x:c>
      <x:c r="D461" s="37" t="str">
        <x:v>專家與決策</x:v>
      </x:c>
      <x:c r="E461" s="37" t="str">
        <x:v>全公司、知識管理、資訊</x:v>
      </x:c>
      <x:c r="F461" s="37" t="str">
        <x:v>知識工作者、主管、客服、研發、法務</x:v>
      </x:c>
      <x:c r="G461" s="37" t="str">
        <x:v>現行作法對「顯示知識集中、可用性與候補人選」多靠人工彙整、個人經驗或事後處理，難以一致追蹤，造成決策延遲與重工。</x:v>
      </x:c>
      <x:c r="H461" s="37" t="str">
        <x:v>資料／事件接入；顯示知識集中、可用性與候補人選；證據與信心呈現；例外分流與人工覆核；降低瓶頸成效追蹤；完整稽核軌跡</x:v>
      </x:c>
      <x:c r="I461" s="37" t="str">
        <x:v>預測與情境模擬；多目標最佳化；不確定性呈現；專門模型焦點：顯示知識集中、可用性與候補人選</x:v>
      </x:c>
      <x:c r="J461" s="37" t="str">
        <x:v>定期掃描資料與外部訊號，提出優先序與建議；經核准後同步任務與更新來源系統</x:v>
      </x:c>
      <x:c r="K461" s="37" t="str">
        <x:v>L4 有護欄自主執行</x:v>
      </x:c>
      <x:c r="L461" s="37" t="str">
        <x:v>文件、郵件、會議、工單、程式、權限、術語、專家與使用回饋</x:v>
      </x:c>
      <x:c r="M461" s="37" t="str">
        <x:v>DMS、SharePoint、NAS、Email、CRM、ITSM、向量資料庫</x:v>
      </x:c>
      <x:c r="N461" s="37" t="str">
        <x:v>企業資料很多但找不到正確版本、真正專家與過去決策理由。Demo：匯入一組去識別資料，觸發「顯示知識集中、可用性與候補人選」，由系統提出證據、建議與下一步；使用者核准後回寫任務，最後呈現「降低瓶頸」前後差異。</x:v>
      </x:c>
      <x:c r="O461" s="37" t="str">
        <x:v>低</x:v>
      </x:c>
      <x:c r="P461" s="37" t="str">
        <x:v>鄰近既有能力：原有知識問答可能只有聊天入口；本群聚焦知識品質、圖譜、專家與決策脈絡。本 App 的獨立邊界是「顯示知識集中、可用性與候補人選」，主要產出為「降低瓶頸」，不是一般登錄、查詢或看板。</x:v>
      </x:c>
      <x:c r="Q461" s="38" t="n">
        <x:v>5</x:v>
      </x:c>
      <x:c r="R461" s="38" t="n">
        <x:v>3</x:v>
      </x:c>
      <x:c r="S461" s="38" t="str">
        <x:v>P0</x:v>
      </x:c>
      <x:c r="T461" s="38" t="n">
        <x:v>6</x:v>
      </x:c>
      <x:c r="U461" s="39" t="str">
        <x:v>Wave 1 平台底座／旗艦</x:v>
      </x:c>
    </x:row>
    <x:row r="462" ht="86" customHeight="1">
      <x:c r="A462" s="36" t="str">
        <x:v>JV-458</x:v>
      </x:c>
      <x:c r="B462" s="37" t="str">
        <x:v>決策脈絡搜尋器</x:v>
      </x:c>
      <x:c r="C462" s="37" t="str">
        <x:v>Enterprise Search／KM</x:v>
      </x:c>
      <x:c r="D462" s="37" t="str">
        <x:v>專家與決策</x:v>
      </x:c>
      <x:c r="E462" s="37" t="str">
        <x:v>全公司、知識管理、資訊</x:v>
      </x:c>
      <x:c r="F462" s="37" t="str">
        <x:v>知識工作者、主管、客服、研發、法務</x:v>
      </x:c>
      <x:c r="G462" s="37" t="str">
        <x:v>現行作法對「找到過去決策的選項、假設、證據與後果」多靠人工彙整、個人經驗或事後處理，難以一致追蹤，造成決策延遲與重工。</x:v>
      </x:c>
      <x:c r="H462" s="37" t="str">
        <x:v>資料／事件接入；找到過去決策的選項、假設、證據與後果；證據與信心呈現；例外分流與人工覆核；避免重演爭論成效追蹤；完整稽核軌跡</x:v>
      </x:c>
      <x:c r="I462" s="37" t="str">
        <x:v>跨文件／跨系統比對；圖譜推理；差異與缺口生成；專門模型焦點：找到過去決策的選項、假設、證據與後果</x:v>
      </x:c>
      <x:c r="J462" s="37" t="str">
        <x:v>以人機協作模式先產生草案與證據包，接受修改後執行核准步驟並建立完整稽核軌跡</x:v>
      </x:c>
      <x:c r="K462" s="37" t="str">
        <x:v>L4 有護欄自主執行</x:v>
      </x:c>
      <x:c r="L462" s="37" t="str">
        <x:v>文件、郵件、會議、工單、程式、權限、術語、專家與使用回饋</x:v>
      </x:c>
      <x:c r="M462" s="37" t="str">
        <x:v>DMS、SharePoint、NAS、Email、CRM、ITSM、向量資料庫</x:v>
      </x:c>
      <x:c r="N462" s="37" t="str">
        <x:v>企業資料很多但找不到正確版本、真正專家與過去決策理由。Demo：匯入一組去識別資料，觸發「找到過去決策的選項、假設、證據與後果」，由系統提出證據、建議與下一步；使用者核准後回寫任務，最後呈現「避免重演爭論」前後差異。</x:v>
      </x:c>
      <x:c r="O462" s="37" t="str">
        <x:v>低</x:v>
      </x:c>
      <x:c r="P462" s="37" t="str">
        <x:v>鄰近既有能力：原有知識問答可能只有聊天入口；本群聚焦知識品質、圖譜、專家與決策脈絡。本 App 的獨立邊界是「找到過去決策的選項、假設、證據與後果」，主要產出為「避免重演爭論」，不是一般登錄、查詢或看板。</x:v>
      </x:c>
      <x:c r="Q462" s="38" t="n">
        <x:v>5</x:v>
      </x:c>
      <x:c r="R462" s="38" t="n">
        <x:v>3</x:v>
      </x:c>
      <x:c r="S462" s="38" t="str">
        <x:v>P0</x:v>
      </x:c>
      <x:c r="T462" s="38" t="n">
        <x:v>6</x:v>
      </x:c>
      <x:c r="U462" s="39" t="str">
        <x:v>Wave 1 平台底座／旗艦</x:v>
      </x:c>
    </x:row>
    <x:row r="463" ht="86" customHeight="1">
      <x:c r="A463" s="36" t="str">
        <x:v>JV-459</x:v>
      </x:c>
      <x:c r="B463" s="37" t="str">
        <x:v>會議決策知識化 Agent</x:v>
      </x:c>
      <x:c r="C463" s="37" t="str">
        <x:v>Enterprise Search／KM</x:v>
      </x:c>
      <x:c r="D463" s="37" t="str">
        <x:v>專家與決策</x:v>
      </x:c>
      <x:c r="E463" s="37" t="str">
        <x:v>全公司、知識管理、資訊</x:v>
      </x:c>
      <x:c r="F463" s="37" t="str">
        <x:v>知識工作者、主管、客服、研發、法務</x:v>
      </x:c>
      <x:c r="G463" s="37" t="str">
        <x:v>現行作法對「把決議、理由、反對意見與待驗假設入庫」多靠人工彙整、個人經驗或事後處理，難以一致追蹤，造成決策延遲與重工。</x:v>
      </x:c>
      <x:c r="H463" s="37" t="str">
        <x:v>資料／事件接入；把決議、理由、反對意見與待驗假設入庫；證據與信心呈現；例外分流與人工覆核；保存脈絡成效追蹤；完整稽核軌跡</x:v>
      </x:c>
      <x:c r="I463" s="37" t="str">
        <x:v>異常偵測；因果線索分析；可解釋的建議排序；專門模型焦點：把決議、理由、反對意見與待驗假設入庫</x:v>
      </x:c>
      <x:c r="J463" s="37" t="str">
        <x:v>依目標自主規劃步驟、呼叫核准工具、遇到例外改走人工佇列，完成後驗證結果並回報</x:v>
      </x:c>
      <x:c r="K463" s="37" t="str">
        <x:v>L4 有護欄自主執行</x:v>
      </x:c>
      <x:c r="L463" s="37" t="str">
        <x:v>文件、郵件、會議、工單、程式、權限、術語、專家與使用回饋</x:v>
      </x:c>
      <x:c r="M463" s="37" t="str">
        <x:v>DMS、SharePoint、NAS、Email、CRM、ITSM、向量資料庫</x:v>
      </x:c>
      <x:c r="N463" s="37" t="str">
        <x:v>企業資料很多但找不到正確版本、真正專家與過去決策理由。Demo：匯入一組去識別資料，觸發「把決議、理由、反對意見與待驗假設入庫」，由系統提出證據、建議與下一步；使用者核准後回寫任務，最後呈現「保存脈絡」前後差異。</x:v>
      </x:c>
      <x:c r="O463" s="37" t="str">
        <x:v>低</x:v>
      </x:c>
      <x:c r="P463" s="37" t="str">
        <x:v>鄰近既有能力：原有知識問答可能只有聊天入口；本群聚焦知識品質、圖譜、專家與決策脈絡。本 App 的獨立邊界是「把決議、理由、反對意見與待驗假設入庫」，主要產出為「保存脈絡」，不是一般登錄、查詢或看板。</x:v>
      </x:c>
      <x:c r="Q463" s="38" t="n">
        <x:v>5</x:v>
      </x:c>
      <x:c r="R463" s="38" t="n">
        <x:v>3</x:v>
      </x:c>
      <x:c r="S463" s="38" t="str">
        <x:v>P0</x:v>
      </x:c>
      <x:c r="T463" s="38" t="n">
        <x:v>6</x:v>
      </x:c>
      <x:c r="U463" s="39" t="str">
        <x:v>Wave 1 平台底座／旗艦</x:v>
      </x:c>
    </x:row>
    <x:row r="464" ht="86" customHeight="1">
      <x:c r="A464" s="36" t="str">
        <x:v>JV-460</x:v>
      </x:c>
      <x:c r="B464" s="37" t="str">
        <x:v>失敗經驗安全搜尋器</x:v>
      </x:c>
      <x:c r="C464" s="37" t="str">
        <x:v>Enterprise Search／KM</x:v>
      </x:c>
      <x:c r="D464" s="37" t="str">
        <x:v>專家與決策</x:v>
      </x:c>
      <x:c r="E464" s="37" t="str">
        <x:v>全公司、知識管理、資訊</x:v>
      </x:c>
      <x:c r="F464" s="37" t="str">
        <x:v>知識工作者、主管、客服、研發、法務</x:v>
      </x:c>
      <x:c r="G464" s="37" t="str">
        <x:v>現行作法對「讓團隊可查教訓但控制敏感與究責資訊」多靠人工彙整、個人經驗或事後處理，難以一致追蹤，造成決策延遲與重工。</x:v>
      </x:c>
      <x:c r="H464" s="37" t="str">
        <x:v>資料／事件接入；讓團隊可查教訓但控制敏感與究責資訊；證據與信心呈現；例外分流與人工覆核；促進學習成效追蹤；完整稽核軌跡</x:v>
      </x:c>
      <x:c r="I464" s="37" t="str">
        <x:v>RAG 檢索與來源引用；規則＋模型混合判斷；矛盾檢查；專門模型焦點：讓團隊可查教訓但控制敏感與究責資訊</x:v>
      </x:c>
      <x:c r="J464" s="37" t="str">
        <x:v>與多個專業 Agent 協作拆解任務，保留交接證據、逾時升級並在失敗時安全回滾</x:v>
      </x:c>
      <x:c r="K464" s="37" t="str">
        <x:v>L3 可執行／關鍵核准</x:v>
      </x:c>
      <x:c r="L464" s="37" t="str">
        <x:v>文件、郵件、會議、工單、程式、權限、術語、專家與使用回饋</x:v>
      </x:c>
      <x:c r="M464" s="37" t="str">
        <x:v>DMS、SharePoint、NAS、Email、CRM、ITSM、向量資料庫</x:v>
      </x:c>
      <x:c r="N464" s="37" t="str">
        <x:v>企業資料很多但找不到正確版本、真正專家與過去決策理由。Demo：匯入一組去識別資料，觸發「讓團隊可查教訓但控制敏感與究責資訊」，由系統提出證據、建議與下一步；使用者核准後回寫任務，最後呈現「促進學習」前後差異。</x:v>
      </x:c>
      <x:c r="O464" s="37" t="str">
        <x:v>中低</x:v>
      </x:c>
      <x:c r="P464" s="37" t="str">
        <x:v>鄰近既有能力：原有知識問答可能只有聊天入口；本群聚焦知識品質、圖譜、專家與決策脈絡。本 App 的獨立邊界是「讓團隊可查教訓但控制敏感與究責資訊」，主要產出為「促進學習」，不是一般登錄、查詢或看板。</x:v>
      </x:c>
      <x:c r="Q464" s="38" t="n">
        <x:v>5</x:v>
      </x:c>
      <x:c r="R464" s="38" t="n">
        <x:v>4</x:v>
      </x:c>
      <x:c r="S464" s="38" t="str">
        <x:v>P0</x:v>
      </x:c>
      <x:c r="T464" s="38" t="n">
        <x:v>8</x:v>
      </x:c>
      <x:c r="U464" s="39" t="str">
        <x:v>Wave 1 平台底座／旗艦</x:v>
      </x:c>
    </x:row>
    <x:row r="465" ht="86" customHeight="1">
      <x:c r="A465" s="36" t="str">
        <x:v>JV-461</x:v>
      </x:c>
      <x:c r="B465" s="37" t="str">
        <x:v>知識新鮮度評分器</x:v>
      </x:c>
      <x:c r="C465" s="37" t="str">
        <x:v>Enterprise Search／KM</x:v>
      </x:c>
      <x:c r="D465" s="37" t="str">
        <x:v>知識生命週期</x:v>
      </x:c>
      <x:c r="E465" s="37" t="str">
        <x:v>全公司、知識管理、資訊</x:v>
      </x:c>
      <x:c r="F465" s="37" t="str">
        <x:v>知識工作者、主管、客服、研發、法務</x:v>
      </x:c>
      <x:c r="G465" s="37" t="str">
        <x:v>現行作法對「依來源、擁有者、變更與使用回饋評分」多靠人工彙整、個人經驗或事後處理，難以一致追蹤，造成決策延遲與重工。</x:v>
      </x:c>
      <x:c r="H465" s="37" t="str">
        <x:v>資料／事件接入；依來源、擁有者、變更與使用回饋評分；證據與信心呈現；例外分流與人工覆核；避免過期知識成效追蹤；完整稽核軌跡</x:v>
      </x:c>
      <x:c r="I465" s="37" t="str">
        <x:v>語意分類與實體抽取；風險／信心評分；具證據的生成與摘要；專門模型焦點：依來源、擁有者、變更與使用回饋評分</x:v>
      </x:c>
      <x:c r="J465" s="37" t="str">
        <x:v>持續監測事件，達門檻後建立案件、蒐集證據、指派責任並追蹤結案；高風險動作需人工核准</x:v>
      </x:c>
      <x:c r="K465" s="37" t="str">
        <x:v>L3 可執行／關鍵核准</x:v>
      </x:c>
      <x:c r="L465" s="37" t="str">
        <x:v>文件、郵件、會議、工單、程式、權限、術語、專家與使用回饋</x:v>
      </x:c>
      <x:c r="M465" s="37" t="str">
        <x:v>DMS、SharePoint、NAS、Email、CRM、ITSM、向量資料庫</x:v>
      </x:c>
      <x:c r="N465" s="37" t="str">
        <x:v>企業資料很多但找不到正確版本、真正專家與過去決策理由。Demo：匯入一組去識別資料，觸發「依來源、擁有者、變更與使用回饋評分」，由系統提出證據、建議與下一步；使用者核准後回寫任務，最後呈現「避免過期知識」前後差異。</x:v>
      </x:c>
      <x:c r="O465" s="37" t="str">
        <x:v>中低</x:v>
      </x:c>
      <x:c r="P465" s="37" t="str">
        <x:v>鄰近既有能力：原有知識問答可能只有聊天入口；本群聚焦知識品質、圖譜、專家與決策脈絡。本 App 的獨立邊界是「依來源、擁有者、變更與使用回饋評分」，主要產出為「避免過期知識」，不是一般登錄、查詢或看板。</x:v>
      </x:c>
      <x:c r="Q465" s="38" t="n">
        <x:v>5</x:v>
      </x:c>
      <x:c r="R465" s="38" t="n">
        <x:v>2</x:v>
      </x:c>
      <x:c r="S465" s="38" t="str">
        <x:v>P0</x:v>
      </x:c>
      <x:c r="T465" s="38" t="n">
        <x:v>4</x:v>
      </x:c>
      <x:c r="U465" s="39" t="str">
        <x:v>Wave 1 平台底座／旗艦</x:v>
      </x:c>
    </x:row>
    <x:row r="466" ht="86" customHeight="1">
      <x:c r="A466" s="36" t="str">
        <x:v>JV-462</x:v>
      </x:c>
      <x:c r="B466" s="37" t="str">
        <x:v>知識擁有者自動指派器</x:v>
      </x:c>
      <x:c r="C466" s="37" t="str">
        <x:v>Enterprise Search／KM</x:v>
      </x:c>
      <x:c r="D466" s="37" t="str">
        <x:v>知識生命週期</x:v>
      </x:c>
      <x:c r="E466" s="37" t="str">
        <x:v>全公司、知識管理、資訊</x:v>
      </x:c>
      <x:c r="F466" s="37" t="str">
        <x:v>知識工作者、主管、客服、研發、法務</x:v>
      </x:c>
      <x:c r="G466" s="37" t="str">
        <x:v>現行作法對「按來源與貢獻推定責任人並請確認」多靠人工彙整、個人經驗或事後處理，難以一致追蹤，造成決策延遲與重工。</x:v>
      </x:c>
      <x:c r="H466" s="37" t="str">
        <x:v>資料／事件接入；按來源與貢獻推定責任人並請確認；證據與信心呈現；例外分流與人工覆核；補齊責任成效追蹤；完整稽核軌跡</x:v>
      </x:c>
      <x:c r="I466" s="37" t="str">
        <x:v>預測與情境模擬；多目標最佳化；不確定性呈現；專門模型焦點：按來源與貢獻推定責任人並請確認</x:v>
      </x:c>
      <x:c r="J466" s="37" t="str">
        <x:v>定期掃描資料與外部訊號，提出優先序與建議；經核准後同步任務與更新來源系統</x:v>
      </x:c>
      <x:c r="K466" s="37" t="str">
        <x:v>L3 可執行／關鍵核准</x:v>
      </x:c>
      <x:c r="L466" s="37" t="str">
        <x:v>文件、郵件、會議、工單、程式、權限、術語、專家與使用回饋</x:v>
      </x:c>
      <x:c r="M466" s="37" t="str">
        <x:v>DMS、SharePoint、NAS、Email、CRM、ITSM、向量資料庫</x:v>
      </x:c>
      <x:c r="N466" s="37" t="str">
        <x:v>企業資料很多但找不到正確版本、真正專家與過去決策理由。Demo：匯入一組去識別資料，觸發「按來源與貢獻推定責任人並請確認」，由系統提出證據、建議與下一步；使用者核准後回寫任務，最後呈現「補齊責任」前後差異。</x:v>
      </x:c>
      <x:c r="O466" s="37" t="str">
        <x:v>低</x:v>
      </x:c>
      <x:c r="P466" s="37" t="str">
        <x:v>鄰近既有能力：原有知識問答可能只有聊天入口；本群聚焦知識品質、圖譜、專家與決策脈絡。本 App 的獨立邊界是「按來源與貢獻推定責任人並請確認」，主要產出為「補齊責任」，不是一般登錄、查詢或看板。</x:v>
      </x:c>
      <x:c r="Q466" s="38" t="n">
        <x:v>5</x:v>
      </x:c>
      <x:c r="R466" s="38" t="n">
        <x:v>3</x:v>
      </x:c>
      <x:c r="S466" s="38" t="str">
        <x:v>P1</x:v>
      </x:c>
      <x:c r="T466" s="38" t="n">
        <x:v>7</x:v>
      </x:c>
      <x:c r="U466" s="39" t="str">
        <x:v>Wave 2 高價值套件</x:v>
      </x:c>
    </x:row>
    <x:row r="467" ht="86" customHeight="1">
      <x:c r="A467" s="36" t="str">
        <x:v>JV-463</x:v>
      </x:c>
      <x:c r="B467" s="37" t="str">
        <x:v>過期知識處置 Agent</x:v>
      </x:c>
      <x:c r="C467" s="37" t="str">
        <x:v>Enterprise Search／KM</x:v>
      </x:c>
      <x:c r="D467" s="37" t="str">
        <x:v>知識生命週期</x:v>
      </x:c>
      <x:c r="E467" s="37" t="str">
        <x:v>全公司、知識管理、資訊</x:v>
      </x:c>
      <x:c r="F467" s="37" t="str">
        <x:v>知識工作者、主管、客服、研發、法務</x:v>
      </x:c>
      <x:c r="G467" s="37" t="str">
        <x:v>現行作法對「通知、複核、封存並導向替代內容」多靠人工彙整、個人經驗或事後處理，難以一致追蹤，造成決策延遲與重工。</x:v>
      </x:c>
      <x:c r="H467" s="37" t="str">
        <x:v>資料／事件接入；通知、複核、封存並導向替代內容；證據與信心呈現；例外分流與人工覆核；保持乾淨成效追蹤；完整稽核軌跡</x:v>
      </x:c>
      <x:c r="I467" s="37" t="str">
        <x:v>跨文件／跨系統比對；圖譜推理；差異與缺口生成；專門模型焦點：通知、複核、封存並導向替代內容</x:v>
      </x:c>
      <x:c r="J467" s="37" t="str">
        <x:v>以人機協作模式先產生草案與證據包，接受修改後執行核准步驟並建立完整稽核軌跡</x:v>
      </x:c>
      <x:c r="K467" s="37" t="str">
        <x:v>L4 有護欄自主執行</x:v>
      </x:c>
      <x:c r="L467" s="37" t="str">
        <x:v>文件、郵件、會議、工單、程式、權限、術語、專家與使用回饋</x:v>
      </x:c>
      <x:c r="M467" s="37" t="str">
        <x:v>DMS、SharePoint、NAS、Email、CRM、ITSM、向量資料庫</x:v>
      </x:c>
      <x:c r="N467" s="37" t="str">
        <x:v>企業資料很多但找不到正確版本、真正專家與過去決策理由。Demo：匯入一組去識別資料，觸發「通知、複核、封存並導向替代內容」，由系統提出證據、建議與下一步；使用者核准後回寫任務，最後呈現「保持乾淨」前後差異。</x:v>
      </x:c>
      <x:c r="O467" s="37" t="str">
        <x:v>低</x:v>
      </x:c>
      <x:c r="P467" s="37" t="str">
        <x:v>鄰近既有能力：原有知識問答可能只有聊天入口；本群聚焦知識品質、圖譜、專家與決策脈絡。本 App 的獨立邊界是「通知、複核、封存並導向替代內容」，主要產出為「保持乾淨」，不是一般登錄、查詢或看板。</x:v>
      </x:c>
      <x:c r="Q467" s="38" t="n">
        <x:v>5</x:v>
      </x:c>
      <x:c r="R467" s="38" t="n">
        <x:v>3</x:v>
      </x:c>
      <x:c r="S467" s="38" t="str">
        <x:v>P0</x:v>
      </x:c>
      <x:c r="T467" s="38" t="n">
        <x:v>6</x:v>
      </x:c>
      <x:c r="U467" s="39" t="str">
        <x:v>Wave 1 平台底座／旗艦</x:v>
      </x:c>
    </x:row>
    <x:row r="468" ht="86" customHeight="1">
      <x:c r="A468" s="36" t="str">
        <x:v>JV-464</x:v>
      </x:c>
      <x:c r="B468" s="37" t="str">
        <x:v>知識重複與版本整併器</x:v>
      </x:c>
      <x:c r="C468" s="37" t="str">
        <x:v>Enterprise Search／KM</x:v>
      </x:c>
      <x:c r="D468" s="37" t="str">
        <x:v>知識生命週期</x:v>
      </x:c>
      <x:c r="E468" s="37" t="str">
        <x:v>全公司、知識管理、資訊</x:v>
      </x:c>
      <x:c r="F468" s="37" t="str">
        <x:v>知識工作者、主管、客服、研發、法務</x:v>
      </x:c>
      <x:c r="G468" s="37" t="str">
        <x:v>現行作法對「辨識近似文件並保留權威版本關係」多靠人工彙整、個人經驗或事後處理，難以一致追蹤，造成決策延遲與重工。</x:v>
      </x:c>
      <x:c r="H468" s="37" t="str">
        <x:v>資料／事件接入；辨識近似文件並保留權威版本關係；證據與信心呈現；例外分流與人工覆核；減少混亂成效追蹤；完整稽核軌跡</x:v>
      </x:c>
      <x:c r="I468" s="37" t="str">
        <x:v>異常偵測；因果線索分析；可解釋的建議排序；專門模型焦點：辨識近似文件並保留權威版本關係</x:v>
      </x:c>
      <x:c r="J468" s="37" t="str">
        <x:v>依目標自主規劃步驟、呼叫核准工具、遇到例外改走人工佇列，完成後驗證結果並回報</x:v>
      </x:c>
      <x:c r="K468" s="37" t="str">
        <x:v>L4 有護欄自主執行</x:v>
      </x:c>
      <x:c r="L468" s="37" t="str">
        <x:v>文件、郵件、會議、工單、程式、權限、術語、專家與使用回饋</x:v>
      </x:c>
      <x:c r="M468" s="37" t="str">
        <x:v>DMS、SharePoint、NAS、Email、CRM、ITSM、向量資料庫</x:v>
      </x:c>
      <x:c r="N468" s="37" t="str">
        <x:v>企業資料很多但找不到正確版本、真正專家與過去決策理由。Demo：匯入一組去識別資料，觸發「辨識近似文件並保留權威版本關係」，由系統提出證據、建議與下一步；使用者核准後回寫任務，最後呈現「減少混亂」前後差異。</x:v>
      </x:c>
      <x:c r="O468" s="37" t="str">
        <x:v>低</x:v>
      </x:c>
      <x:c r="P468" s="37" t="str">
        <x:v>鄰近既有能力：原有知識問答可能只有聊天入口；本群聚焦知識品質、圖譜、專家與決策脈絡。本 App 的獨立邊界是「辨識近似文件並保留權威版本關係」，主要產出為「減少混亂」，不是一般登錄、查詢或看板。</x:v>
      </x:c>
      <x:c r="Q468" s="38" t="n">
        <x:v>5</x:v>
      </x:c>
      <x:c r="R468" s="38" t="n">
        <x:v>3</x:v>
      </x:c>
      <x:c r="S468" s="38" t="str">
        <x:v>P0</x:v>
      </x:c>
      <x:c r="T468" s="38" t="n">
        <x:v>6</x:v>
      </x:c>
      <x:c r="U468" s="39" t="str">
        <x:v>Wave 1 平台底座／旗艦</x:v>
      </x:c>
    </x:row>
    <x:row r="469" ht="86" customHeight="1">
      <x:c r="A469" s="36" t="str">
        <x:v>JV-465</x:v>
      </x:c>
      <x:c r="B469" s="37" t="str">
        <x:v>知識使用價值分析器</x:v>
      </x:c>
      <x:c r="C469" s="37" t="str">
        <x:v>Enterprise Search／KM</x:v>
      </x:c>
      <x:c r="D469" s="37" t="str">
        <x:v>知識生命週期</x:v>
      </x:c>
      <x:c r="E469" s="37" t="str">
        <x:v>全公司、知識管理、資訊</x:v>
      </x:c>
      <x:c r="F469" s="37" t="str">
        <x:v>知識工作者、主管、客服、研發、法務</x:v>
      </x:c>
      <x:c r="G469" s="37" t="str">
        <x:v>現行作法對「連結知識到節時、解案與決策結果」多靠人工彙整、個人經驗或事後處理，難以一致追蹤，造成決策延遲與重工。</x:v>
      </x:c>
      <x:c r="H469" s="37" t="str">
        <x:v>資料／事件接入；連結知識到節時、解案與決策結果；證據與信心呈現；例外分流與人工覆核；量化 KM 價值成效追蹤；完整稽核軌跡</x:v>
      </x:c>
      <x:c r="I469" s="37" t="str">
        <x:v>RAG 檢索與來源引用；規則＋模型混合判斷；矛盾檢查；專門模型焦點：連結知識到節時、解案與決策結果</x:v>
      </x:c>
      <x:c r="J469" s="37" t="str">
        <x:v>與多個專業 Agent 協作拆解任務，保留交接證據、逾時升級並在失敗時安全回滾</x:v>
      </x:c>
      <x:c r="K469" s="37" t="str">
        <x:v>L3 可執行／關鍵核准</x:v>
      </x:c>
      <x:c r="L469" s="37" t="str">
        <x:v>文件、郵件、會議、工單、程式、權限、術語、專家與使用回饋</x:v>
      </x:c>
      <x:c r="M469" s="37" t="str">
        <x:v>DMS、SharePoint、NAS、Email、CRM、ITSM、向量資料庫</x:v>
      </x:c>
      <x:c r="N469" s="37" t="str">
        <x:v>企業資料很多但找不到正確版本、真正專家與過去決策理由。Demo：匯入一組去識別資料，觸發「連結知識到節時、解案與決策結果」，由系統提出證據、建議與下一步；使用者核准後回寫任務，最後呈現「量化 KM 價值」前後差異。</x:v>
      </x:c>
      <x:c r="O469" s="37" t="str">
        <x:v>中低</x:v>
      </x:c>
      <x:c r="P469" s="37" t="str">
        <x:v>鄰近既有能力：原有知識問答可能只有聊天入口；本群聚焦知識品質、圖譜、專家與決策脈絡。本 App 的獨立邊界是「連結知識到節時、解案與決策結果」，主要產出為「量化 KM 價值」，不是一般登錄、查詢或看板。</x:v>
      </x:c>
      <x:c r="Q469" s="38" t="n">
        <x:v>5</x:v>
      </x:c>
      <x:c r="R469" s="38" t="n">
        <x:v>4</x:v>
      </x:c>
      <x:c r="S469" s="38" t="str">
        <x:v>P1</x:v>
      </x:c>
      <x:c r="T469" s="38" t="n">
        <x:v>9</x:v>
      </x:c>
      <x:c r="U469" s="39" t="str">
        <x:v>Wave 2 高價值套件</x:v>
      </x:c>
    </x:row>
    <x:row r="470" ht="86" customHeight="1">
      <x:c r="A470" s="36" t="str">
        <x:v>JV-466</x:v>
      </x:c>
      <x:c r="B470" s="37" t="str">
        <x:v>Edge Model Fleet Manager</x:v>
      </x:c>
      <x:c r="C470" s="37" t="str">
        <x:v>IoT／Edge AI</x:v>
      </x:c>
      <x:c r="D470" s="37" t="str">
        <x:v>邊緣模型營運</x:v>
      </x:c>
      <x:c r="E470" s="37" t="str">
        <x:v>資訊、廠務、設備、場域營運</x:v>
      </x:c>
      <x:c r="F470" s="37" t="str">
        <x:v>IoT 架構師、設備工程師、場域主管、資安人員</x:v>
      </x:c>
      <x:c r="G470" s="37" t="str">
        <x:v>現行作法對「按硬體、地點與版本管理模型部署」多靠人工彙整、個人經驗或事後處理，難以一致追蹤，造成決策延遲與重工。</x:v>
      </x:c>
      <x:c r="H470" s="37" t="str">
        <x:v>資料／事件接入；按硬體、地點與版本管理模型部署；證據與信心呈現；例外分流與人工覆核；一致管理大規模節點成效追蹤；完整稽核軌跡</x:v>
      </x:c>
      <x:c r="I470" s="37" t="str">
        <x:v>語意分類與實體抽取；風險／信心評分；具證據的生成與摘要；專門模型焦點：按硬體、地點與版本管理模型部署</x:v>
      </x:c>
      <x:c r="J470" s="37" t="str">
        <x:v>持續監測事件，達門檻後建立案件、蒐集證據、指派責任並追蹤結案；高風險動作需人工核准</x:v>
      </x:c>
      <x:c r="K470" s="37" t="str">
        <x:v>L3 可執行／關鍵核准</x:v>
      </x:c>
      <x:c r="L470" s="37" t="str">
        <x:v>感測、影像、設備狀態、韌體、網路、推論、電力與位置資料</x:v>
      </x:c>
      <x:c r="M470" s="37" t="str">
        <x:v>IoT 平台、Edge Gateway、SCADA、EAM、SIEM、雲端 AI</x:v>
      </x:c>
      <x:c r="N470" s="37" t="str">
        <x:v>大量邊緣裝置網路不穩且資源有限，需要在現場安全推論、自癒與更新。Demo：匯入一組去識別資料，觸發「按硬體、地點與版本管理模型部署」，由系統提出證據、建議與下一步；使用者核准後回寫任務，最後呈現「一致管理大規模節點」前後差異。</x:v>
      </x:c>
      <x:c r="O470" s="37" t="str">
        <x:v>中低</x:v>
      </x:c>
      <x:c r="P470" s="37" t="str">
        <x:v>鄰近既有能力：原有 IoT 可能做連線與看板；本群聚焦邊緣模型營運、離線自治與裝置可信度。本 App 的獨立邊界是「按硬體、地點與版本管理模型部署」，主要產出為「一致管理大規模節點」，不是一般登錄、查詢或看板。</x:v>
      </x:c>
      <x:c r="Q470" s="38" t="n">
        <x:v>4</x:v>
      </x:c>
      <x:c r="R470" s="38" t="n">
        <x:v>4</x:v>
      </x:c>
      <x:c r="S470" s="38" t="str">
        <x:v>P2</x:v>
      </x:c>
      <x:c r="T470" s="38" t="n">
        <x:v>9</x:v>
      </x:c>
      <x:c r="U470" s="39" t="str">
        <x:v>Wave 3 垂直擴充</x:v>
      </x:c>
    </x:row>
    <x:row r="471" ht="86" customHeight="1">
      <x:c r="A471" s="36" t="str">
        <x:v>JV-467</x:v>
      </x:c>
      <x:c r="B471" s="37" t="str">
        <x:v>邊緣模型量化適配器</x:v>
      </x:c>
      <x:c r="C471" s="37" t="str">
        <x:v>IoT／Edge AI</x:v>
      </x:c>
      <x:c r="D471" s="37" t="str">
        <x:v>邊緣模型營運</x:v>
      </x:c>
      <x:c r="E471" s="37" t="str">
        <x:v>資訊、廠務、設備、場域營運</x:v>
      </x:c>
      <x:c r="F471" s="37" t="str">
        <x:v>IoT 架構師、設備工程師、場域主管、資安人員</x:v>
      </x:c>
      <x:c r="G471" s="37" t="str">
        <x:v>現行作法對「自動比較量化後精度、延遲與功耗」多靠人工彙整、個人經驗或事後處理，難以一致追蹤，造成決策延遲與重工。</x:v>
      </x:c>
      <x:c r="H471" s="37" t="str">
        <x:v>資料／事件接入；自動比較量化後精度、延遲與功耗；證據與信心呈現；例外分流與人工覆核；選擇可部署版本成效追蹤；完整稽核軌跡</x:v>
      </x:c>
      <x:c r="I471" s="37" t="str">
        <x:v>預測與情境模擬；多目標最佳化；不確定性呈現；專門模型焦點：自動比較量化後精度、延遲與功耗</x:v>
      </x:c>
      <x:c r="J471" s="37" t="str">
        <x:v>定期掃描資料與外部訊號，提出優先序與建議；經核准後同步任務與更新來源系統</x:v>
      </x:c>
      <x:c r="K471" s="37" t="str">
        <x:v>L2 建議／需核准</x:v>
      </x:c>
      <x:c r="L471" s="37" t="str">
        <x:v>感測、影像、設備狀態、韌體、網路、推論、電力與位置資料</x:v>
      </x:c>
      <x:c r="M471" s="37" t="str">
        <x:v>IoT 平台、Edge Gateway、SCADA、EAM、SIEM、雲端 AI</x:v>
      </x:c>
      <x:c r="N471" s="37" t="str">
        <x:v>大量邊緣裝置網路不穩且資源有限，需要在現場安全推論、自癒與更新。Demo：匯入一組去識別資料，觸發「自動比較量化後精度、延遲與功耗」，由系統提出證據、建議與下一步；使用者核准後回寫任務，最後呈現「選擇可部署版本」前後差異。</x:v>
      </x:c>
      <x:c r="O471" s="37" t="str">
        <x:v>低</x:v>
      </x:c>
      <x:c r="P471" s="37" t="str">
        <x:v>鄰近既有能力：原有 IoT 可能做連線與看板；本群聚焦邊緣模型營運、離線自治與裝置可信度。本 App 的獨立邊界是「自動比較量化後精度、延遲與功耗」，主要產出為「選擇可部署版本」，不是一般登錄、查詢或看板。</x:v>
      </x:c>
      <x:c r="Q471" s="38" t="n">
        <x:v>4</x:v>
      </x:c>
      <x:c r="R471" s="38" t="n">
        <x:v>5</x:v>
      </x:c>
      <x:c r="S471" s="38" t="str">
        <x:v>P2</x:v>
      </x:c>
      <x:c r="T471" s="38" t="n">
        <x:v>11</x:v>
      </x:c>
      <x:c r="U471" s="39" t="str">
        <x:v>Wave 3 垂直擴充</x:v>
      </x:c>
    </x:row>
    <x:row r="472" ht="86" customHeight="1">
      <x:c r="A472" s="36" t="str">
        <x:v>JV-468</x:v>
      </x:c>
      <x:c r="B472" s="37" t="str">
        <x:v>Edge 模型漂移哨兵</x:v>
      </x:c>
      <x:c r="C472" s="37" t="str">
        <x:v>IoT／Edge AI</x:v>
      </x:c>
      <x:c r="D472" s="37" t="str">
        <x:v>邊緣模型營運</x:v>
      </x:c>
      <x:c r="E472" s="37" t="str">
        <x:v>資訊、廠務、設備、場域營運</x:v>
      </x:c>
      <x:c r="F472" s="37" t="str">
        <x:v>IoT 架構師、設備工程師、場域主管、資安人員</x:v>
      </x:c>
      <x:c r="G472" s="37" t="str">
        <x:v>現行作法對「在現場偵測輸入與結果分布變化」多靠人工彙整、個人經驗或事後處理，難以一致追蹤，造成決策延遲與重工。</x:v>
      </x:c>
      <x:c r="H472" s="37" t="str">
        <x:v>資料／事件接入；在現場偵測輸入與結果分布變化；證據與信心呈現；例外分流與人工覆核；及早回訓成效追蹤；完整稽核軌跡</x:v>
      </x:c>
      <x:c r="I472" s="37" t="str">
        <x:v>跨文件／跨系統比對；圖譜推理；差異與缺口生成；專門模型焦點：在現場偵測輸入與結果分布變化</x:v>
      </x:c>
      <x:c r="J472" s="37" t="str">
        <x:v>以人機協作模式先產生草案與證據包，接受修改後執行核准步驟並建立完整稽核軌跡</x:v>
      </x:c>
      <x:c r="K472" s="37" t="str">
        <x:v>L2 建議／需核准</x:v>
      </x:c>
      <x:c r="L472" s="37" t="str">
        <x:v>感測、影像、設備狀態、韌體、網路、推論、電力與位置資料</x:v>
      </x:c>
      <x:c r="M472" s="37" t="str">
        <x:v>IoT 平台、Edge Gateway、SCADA、EAM、SIEM、雲端 AI</x:v>
      </x:c>
      <x:c r="N472" s="37" t="str">
        <x:v>大量邊緣裝置網路不穩且資源有限，需要在現場安全推論、自癒與更新。Demo：匯入一組去識別資料，觸發「在現場偵測輸入與結果分布變化」，由系統提出證據、建議與下一步；使用者核准後回寫任務，最後呈現「及早回訓」前後差異。</x:v>
      </x:c>
      <x:c r="O472" s="37" t="str">
        <x:v>低</x:v>
      </x:c>
      <x:c r="P472" s="37" t="str">
        <x:v>鄰近既有能力：原有 IoT 可能做連線與看板；本群聚焦邊緣模型營運、離線自治與裝置可信度。本 App 的獨立邊界是「在現場偵測輸入與結果分布變化」，主要產出為「及早回訓」，不是一般登錄、查詢或看板。</x:v>
      </x:c>
      <x:c r="Q472" s="38" t="n">
        <x:v>4</x:v>
      </x:c>
      <x:c r="R472" s="38" t="n">
        <x:v>5</x:v>
      </x:c>
      <x:c r="S472" s="38" t="str">
        <x:v>P2</x:v>
      </x:c>
      <x:c r="T472" s="38" t="n">
        <x:v>11</x:v>
      </x:c>
      <x:c r="U472" s="39" t="str">
        <x:v>Wave 3 垂直擴充</x:v>
      </x:c>
    </x:row>
    <x:row r="473" ht="86" customHeight="1">
      <x:c r="A473" s="36" t="str">
        <x:v>JV-469</x:v>
      </x:c>
      <x:c r="B473" s="37" t="str">
        <x:v>邊緣灰度更新控制器</x:v>
      </x:c>
      <x:c r="C473" s="37" t="str">
        <x:v>IoT／Edge AI</x:v>
      </x:c>
      <x:c r="D473" s="37" t="str">
        <x:v>邊緣模型營運</x:v>
      </x:c>
      <x:c r="E473" s="37" t="str">
        <x:v>資訊、廠務、設備、場域營運</x:v>
      </x:c>
      <x:c r="F473" s="37" t="str">
        <x:v>IoT 架構師、設備工程師、場域主管、資安人員</x:v>
      </x:c>
      <x:c r="G473" s="37" t="str">
        <x:v>現行作法對「分批部署模型並依現場 KPI 自動停止」多靠人工彙整、個人經驗或事後處理，難以一致追蹤，造成決策延遲與重工。</x:v>
      </x:c>
      <x:c r="H473" s="37" t="str">
        <x:v>資料／事件接入；分批部署模型並依現場 KPI 自動停止；證據與信心呈現；例外分流與人工覆核；降低更新風險成效追蹤；完整稽核軌跡</x:v>
      </x:c>
      <x:c r="I473" s="37" t="str">
        <x:v>異常偵測；因果線索分析；可解釋的建議排序；專門模型焦點：分批部署模型並依現場 KPI 自動停止</x:v>
      </x:c>
      <x:c r="J473" s="37" t="str">
        <x:v>依目標自主規劃步驟、呼叫核准工具、遇到例外改走人工佇列，完成後驗證結果並回報</x:v>
      </x:c>
      <x:c r="K473" s="37" t="str">
        <x:v>L2 建議／需核准</x:v>
      </x:c>
      <x:c r="L473" s="37" t="str">
        <x:v>感測、影像、設備狀態、韌體、網路、推論、電力與位置資料</x:v>
      </x:c>
      <x:c r="M473" s="37" t="str">
        <x:v>IoT 平台、Edge Gateway、SCADA、EAM、SIEM、雲端 AI</x:v>
      </x:c>
      <x:c r="N473" s="37" t="str">
        <x:v>大量邊緣裝置網路不穩且資源有限，需要在現場安全推論、自癒與更新。Demo：匯入一組去識別資料，觸發「分批部署模型並依現場 KPI 自動停止」，由系統提出證據、建議與下一步；使用者核准後回寫任務，最後呈現「降低更新風險」前後差異。</x:v>
      </x:c>
      <x:c r="O473" s="37" t="str">
        <x:v>低</x:v>
      </x:c>
      <x:c r="P473" s="37" t="str">
        <x:v>鄰近既有能力：原有 IoT 可能做連線與看板；本群聚焦邊緣模型營運、離線自治與裝置可信度。本 App 的獨立邊界是「分批部署模型並依現場 KPI 自動停止」，主要產出為「降低更新風險」，不是一般登錄、查詢或看板。</x:v>
      </x:c>
      <x:c r="Q473" s="38" t="n">
        <x:v>3</x:v>
      </x:c>
      <x:c r="R473" s="38" t="n">
        <x:v>5</x:v>
      </x:c>
      <x:c r="S473" s="38" t="str">
        <x:v>P2</x:v>
      </x:c>
      <x:c r="T473" s="38" t="n">
        <x:v>11</x:v>
      </x:c>
      <x:c r="U473" s="39" t="str">
        <x:v>Wave 3 垂直擴充</x:v>
      </x:c>
    </x:row>
    <x:row r="474" ht="86" customHeight="1">
      <x:c r="A474" s="36" t="str">
        <x:v>JV-470</x:v>
      </x:c>
      <x:c r="B474" s="37" t="str">
        <x:v>Edge 推論證據抽樣器</x:v>
      </x:c>
      <x:c r="C474" s="37" t="str">
        <x:v>IoT／Edge AI</x:v>
      </x:c>
      <x:c r="D474" s="37" t="str">
        <x:v>邊緣模型營運</x:v>
      </x:c>
      <x:c r="E474" s="37" t="str">
        <x:v>資訊、廠務、設備、場域營運</x:v>
      </x:c>
      <x:c r="F474" s="37" t="str">
        <x:v>IoT 架構師、設備工程師、場域主管、資安人員</x:v>
      </x:c>
      <x:c r="G474" s="37" t="str">
        <x:v>現行作法對「保留具代表性或異常樣本供稽核與改善」多靠人工彙整、個人經驗或事後處理，難以一致追蹤，造成決策延遲與重工。</x:v>
      </x:c>
      <x:c r="H474" s="37" t="str">
        <x:v>資料／事件接入；保留具代表性或異常樣本供稽核與改善；證據與信心呈現；例外分流與人工覆核；控制回傳量成效追蹤；完整稽核軌跡</x:v>
      </x:c>
      <x:c r="I474" s="37" t="str">
        <x:v>RAG 檢索與來源引用；規則＋模型混合判斷；矛盾檢查；專門模型焦點：保留具代表性或異常樣本供稽核與改善</x:v>
      </x:c>
      <x:c r="J474" s="37" t="str">
        <x:v>與多個專業 Agent 協作拆解任務，保留交接證據、逾時升級並在失敗時安全回滾</x:v>
      </x:c>
      <x:c r="K474" s="37" t="str">
        <x:v>L2 建議／需核准</x:v>
      </x:c>
      <x:c r="L474" s="37" t="str">
        <x:v>感測、影像、設備狀態、韌體、網路、推論、電力與位置資料</x:v>
      </x:c>
      <x:c r="M474" s="37" t="str">
        <x:v>IoT 平台、Edge Gateway、SCADA、EAM、SIEM、雲端 AI</x:v>
      </x:c>
      <x:c r="N474" s="37" t="str">
        <x:v>大量邊緣裝置網路不穩且資源有限，需要在現場安全推論、自癒與更新。Demo：匯入一組去識別資料，觸發「保留具代表性或異常樣本供稽核與改善」，由系統提出證據、建議與下一步；使用者核准後回寫任務，最後呈現「控制回傳量」前後差異。</x:v>
      </x:c>
      <x:c r="O474" s="37" t="str">
        <x:v>中低</x:v>
      </x:c>
      <x:c r="P474" s="37" t="str">
        <x:v>鄰近既有能力：原有 IoT 可能做連線與看板；本群聚焦邊緣模型營運、離線自治與裝置可信度。本 App 的獨立邊界是「保留具代表性或異常樣本供稽核與改善」，主要產出為「控制回傳量」，不是一般登錄、查詢或看板。</x:v>
      </x:c>
      <x:c r="Q474" s="38" t="n">
        <x:v>4</x:v>
      </x:c>
      <x:c r="R474" s="38" t="n">
        <x:v>5</x:v>
      </x:c>
      <x:c r="S474" s="38" t="str">
        <x:v>P2</x:v>
      </x:c>
      <x:c r="T474" s="38" t="n">
        <x:v>11</x:v>
      </x:c>
      <x:c r="U474" s="39" t="str">
        <x:v>Wave 3 垂直擴充</x:v>
      </x:c>
    </x:row>
    <x:row r="475" ht="86" customHeight="1">
      <x:c r="A475" s="36" t="str">
        <x:v>JV-471</x:v>
      </x:c>
      <x:c r="B475" s="37" t="str">
        <x:v>離線任務延續 Agent</x:v>
      </x:c>
      <x:c r="C475" s="37" t="str">
        <x:v>IoT／Edge AI</x:v>
      </x:c>
      <x:c r="D475" s="37" t="str">
        <x:v>離線自治</x:v>
      </x:c>
      <x:c r="E475" s="37" t="str">
        <x:v>資訊、廠務、設備、場域營運</x:v>
      </x:c>
      <x:c r="F475" s="37" t="str">
        <x:v>IoT 架構師、設備工程師、場域主管、資安人員</x:v>
      </x:c>
      <x:c r="G475" s="37" t="str">
        <x:v>現行作法對「斷網時依本地政策持續執行並事後同步」多靠人工彙整、個人經驗或事後處理，難以一致追蹤，造成決策延遲與重工。</x:v>
      </x:c>
      <x:c r="H475" s="37" t="str">
        <x:v>資料／事件接入；斷網時依本地政策持續執行並事後同步；證據與信心呈現；例外分流與人工覆核；維持營運成效追蹤；完整稽核軌跡</x:v>
      </x:c>
      <x:c r="I475" s="37" t="str">
        <x:v>語意分類與實體抽取；風險／信心評分；具證據的生成與摘要；專門模型焦點：斷網時依本地政策持續執行並事後同步</x:v>
      </x:c>
      <x:c r="J475" s="37" t="str">
        <x:v>持續監測事件，達門檻後建立案件、蒐集證據、指派責任並追蹤結案；高風險動作需人工核准</x:v>
      </x:c>
      <x:c r="K475" s="37" t="str">
        <x:v>L3 可執行／關鍵核准</x:v>
      </x:c>
      <x:c r="L475" s="37" t="str">
        <x:v>感測、影像、設備狀態、韌體、網路、推論、電力與位置資料</x:v>
      </x:c>
      <x:c r="M475" s="37" t="str">
        <x:v>IoT 平台、Edge Gateway、SCADA、EAM、SIEM、雲端 AI</x:v>
      </x:c>
      <x:c r="N475" s="37" t="str">
        <x:v>大量邊緣裝置網路不穩且資源有限，需要在現場安全推論、自癒與更新。Demo：匯入一組去識別資料，觸發「斷網時依本地政策持續執行並事後同步」，由系統提出證據、建議與下一步；使用者核准後回寫任務，最後呈現「維持營運」前後差異。</x:v>
      </x:c>
      <x:c r="O475" s="37" t="str">
        <x:v>中低</x:v>
      </x:c>
      <x:c r="P475" s="37" t="str">
        <x:v>鄰近既有能力：原有 IoT 可能做連線與看板；本群聚焦邊緣模型營運、離線自治與裝置可信度。本 App 的獨立邊界是「斷網時依本地政策持續執行並事後同步」，主要產出為「維持營運」，不是一般登錄、查詢或看板。</x:v>
      </x:c>
      <x:c r="Q475" s="38" t="n">
        <x:v>4</x:v>
      </x:c>
      <x:c r="R475" s="38" t="n">
        <x:v>4</x:v>
      </x:c>
      <x:c r="S475" s="38" t="str">
        <x:v>P2</x:v>
      </x:c>
      <x:c r="T475" s="38" t="n">
        <x:v>9</x:v>
      </x:c>
      <x:c r="U475" s="39" t="str">
        <x:v>Wave 3 垂直擴充</x:v>
      </x:c>
    </x:row>
    <x:row r="476" ht="86" customHeight="1">
      <x:c r="A476" s="36" t="str">
        <x:v>JV-472</x:v>
      </x:c>
      <x:c r="B476" s="37" t="str">
        <x:v>邊雲決策分流器</x:v>
      </x:c>
      <x:c r="C476" s="37" t="str">
        <x:v>IoT／Edge AI</x:v>
      </x:c>
      <x:c r="D476" s="37" t="str">
        <x:v>離線自治</x:v>
      </x:c>
      <x:c r="E476" s="37" t="str">
        <x:v>資訊、廠務、設備、場域營運</x:v>
      </x:c>
      <x:c r="F476" s="37" t="str">
        <x:v>IoT 架構師、設備工程師、場域主管、資安人員</x:v>
      </x:c>
      <x:c r="G476" s="37" t="str">
        <x:v>現行作法對「依延遲、隱私、成本與資源選擇邊或雲」多靠人工彙整、個人經驗或事後處理，難以一致追蹤，造成決策延遲與重工。</x:v>
      </x:c>
      <x:c r="H476" s="37" t="str">
        <x:v>資料／事件接入；依延遲、隱私、成本與資源選擇邊或雲；證據與信心呈現；例外分流與人工覆核；最佳化架構成效追蹤；完整稽核軌跡</x:v>
      </x:c>
      <x:c r="I476" s="37" t="str">
        <x:v>預測與情境模擬；多目標最佳化；不確定性呈現；專門模型焦點：依延遲、隱私、成本與資源選擇邊或雲</x:v>
      </x:c>
      <x:c r="J476" s="37" t="str">
        <x:v>定期掃描資料與外部訊號，提出優先序與建議；經核准後同步任務與更新來源系統</x:v>
      </x:c>
      <x:c r="K476" s="37" t="str">
        <x:v>L2 建議／需核准</x:v>
      </x:c>
      <x:c r="L476" s="37" t="str">
        <x:v>感測、影像、設備狀態、韌體、網路、推論、電力與位置資料</x:v>
      </x:c>
      <x:c r="M476" s="37" t="str">
        <x:v>IoT 平台、Edge Gateway、SCADA、EAM、SIEM、雲端 AI</x:v>
      </x:c>
      <x:c r="N476" s="37" t="str">
        <x:v>大量邊緣裝置網路不穩且資源有限，需要在現場安全推論、自癒與更新。Demo：匯入一組去識別資料，觸發「依延遲、隱私、成本與資源選擇邊或雲」，由系統提出證據、建議與下一步；使用者核准後回寫任務，最後呈現「最佳化架構」前後差異。</x:v>
      </x:c>
      <x:c r="O476" s="37" t="str">
        <x:v>低</x:v>
      </x:c>
      <x:c r="P476" s="37" t="str">
        <x:v>鄰近既有能力：原有 IoT 可能做連線與看板；本群聚焦邊緣模型營運、離線自治與裝置可信度。本 App 的獨立邊界是「依延遲、隱私、成本與資源選擇邊或雲」，主要產出為「最佳化架構」，不是一般登錄、查詢或看板。</x:v>
      </x:c>
      <x:c r="Q476" s="38" t="n">
        <x:v>4</x:v>
      </x:c>
      <x:c r="R476" s="38" t="n">
        <x:v>5</x:v>
      </x:c>
      <x:c r="S476" s="38" t="str">
        <x:v>P2</x:v>
      </x:c>
      <x:c r="T476" s="38" t="n">
        <x:v>11</x:v>
      </x:c>
      <x:c r="U476" s="39" t="str">
        <x:v>Wave 3 垂直擴充</x:v>
      </x:c>
    </x:row>
    <x:row r="477" ht="86" customHeight="1">
      <x:c r="A477" s="36" t="str">
        <x:v>JV-473</x:v>
      </x:c>
      <x:c r="B477" s="37" t="str">
        <x:v>離線資料衝突仲裁器</x:v>
      </x:c>
      <x:c r="C477" s="37" t="str">
        <x:v>IoT／Edge AI</x:v>
      </x:c>
      <x:c r="D477" s="37" t="str">
        <x:v>離線自治</x:v>
      </x:c>
      <x:c r="E477" s="37" t="str">
        <x:v>資訊、廠務、設備、場域營運</x:v>
      </x:c>
      <x:c r="F477" s="37" t="str">
        <x:v>IoT 架構師、設備工程師、場域主管、資安人員</x:v>
      </x:c>
      <x:c r="G477" s="37" t="str">
        <x:v>現行作法對「重連後處理多節點更新與版本衝突」多靠人工彙整、個人經驗或事後處理，難以一致追蹤，造成決策延遲與重工。</x:v>
      </x:c>
      <x:c r="H477" s="37" t="str">
        <x:v>資料／事件接入；重連後處理多節點更新與版本衝突；證據與信心呈現；例外分流與人工覆核；維持一致性成效追蹤；完整稽核軌跡</x:v>
      </x:c>
      <x:c r="I477" s="37" t="str">
        <x:v>跨文件／跨系統比對；圖譜推理；差異與缺口生成；專門模型焦點：重連後處理多節點更新與版本衝突</x:v>
      </x:c>
      <x:c r="J477" s="37" t="str">
        <x:v>以人機協作模式先產生草案與證據包，接受修改後執行核准步驟並建立完整稽核軌跡</x:v>
      </x:c>
      <x:c r="K477" s="37" t="str">
        <x:v>L2 建議／需核准</x:v>
      </x:c>
      <x:c r="L477" s="37" t="str">
        <x:v>感測、影像、設備狀態、韌體、網路、推論、電力與位置資料</x:v>
      </x:c>
      <x:c r="M477" s="37" t="str">
        <x:v>IoT 平台、Edge Gateway、SCADA、EAM、SIEM、雲端 AI</x:v>
      </x:c>
      <x:c r="N477" s="37" t="str">
        <x:v>大量邊緣裝置網路不穩且資源有限，需要在現場安全推論、自癒與更新。Demo：匯入一組去識別資料，觸發「重連後處理多節點更新與版本衝突」，由系統提出證據、建議與下一步；使用者核准後回寫任務，最後呈現「維持一致性」前後差異。</x:v>
      </x:c>
      <x:c r="O477" s="37" t="str">
        <x:v>低</x:v>
      </x:c>
      <x:c r="P477" s="37" t="str">
        <x:v>鄰近既有能力：原有 IoT 可能做連線與看板；本群聚焦邊緣模型營運、離線自治與裝置可信度。本 App 的獨立邊界是「重連後處理多節點更新與版本衝突」，主要產出為「維持一致性」，不是一般登錄、查詢或看板。</x:v>
      </x:c>
      <x:c r="Q477" s="38" t="n">
        <x:v>4</x:v>
      </x:c>
      <x:c r="R477" s="38" t="n">
        <x:v>5</x:v>
      </x:c>
      <x:c r="S477" s="38" t="str">
        <x:v>P2</x:v>
      </x:c>
      <x:c r="T477" s="38" t="n">
        <x:v>11</x:v>
      </x:c>
      <x:c r="U477" s="39" t="str">
        <x:v>Wave 3 垂直擴充</x:v>
      </x:c>
    </x:row>
    <x:row r="478" ht="86" customHeight="1">
      <x:c r="A478" s="36" t="str">
        <x:v>JV-474</x:v>
      </x:c>
      <x:c r="B478" s="37" t="str">
        <x:v>Edge 緊急安全模式</x:v>
      </x:c>
      <x:c r="C478" s="37" t="str">
        <x:v>IoT／Edge AI</x:v>
      </x:c>
      <x:c r="D478" s="37" t="str">
        <x:v>離線自治</x:v>
      </x:c>
      <x:c r="E478" s="37" t="str">
        <x:v>資訊、廠務、設備、場域營運</x:v>
      </x:c>
      <x:c r="F478" s="37" t="str">
        <x:v>IoT 架構師、設備工程師、場域主管、資安人員</x:v>
      </x:c>
      <x:c r="G478" s="37" t="str">
        <x:v>現行作法對「偵測雲端失聯或異常指令後切入保守控制」多靠人工彙整、個人經驗或事後處理，難以一致追蹤，造成決策延遲與重工。</x:v>
      </x:c>
      <x:c r="H478" s="37" t="str">
        <x:v>資料／事件接入；偵測雲端失聯或異常指令後切入保守控制；證據與信心呈現；例外分流與人工覆核；避免危險成效追蹤；完整稽核軌跡</x:v>
      </x:c>
      <x:c r="I478" s="37" t="str">
        <x:v>異常偵測；因果線索分析；可解釋的建議排序；專門模型焦點：偵測雲端失聯或異常指令後切入保守控制</x:v>
      </x:c>
      <x:c r="J478" s="37" t="str">
        <x:v>依目標自主規劃步驟、呼叫核准工具、遇到例外改走人工佇列，完成後驗證結果並回報</x:v>
      </x:c>
      <x:c r="K478" s="37" t="str">
        <x:v>L2 建議／需核准</x:v>
      </x:c>
      <x:c r="L478" s="37" t="str">
        <x:v>感測、影像、設備狀態、韌體、網路、推論、電力與位置資料</x:v>
      </x:c>
      <x:c r="M478" s="37" t="str">
        <x:v>IoT 平台、Edge Gateway、SCADA、EAM、SIEM、雲端 AI</x:v>
      </x:c>
      <x:c r="N478" s="37" t="str">
        <x:v>大量邊緣裝置網路不穩且資源有限，需要在現場安全推論、自癒與更新。Demo：匯入一組去識別資料，觸發「偵測雲端失聯或異常指令後切入保守控制」，由系統提出證據、建議與下一步；使用者核准後回寫任務，最後呈現「避免危險」前後差異。</x:v>
      </x:c>
      <x:c r="O478" s="37" t="str">
        <x:v>低</x:v>
      </x:c>
      <x:c r="P478" s="37" t="str">
        <x:v>鄰近既有能力：原有 IoT 可能做連線與看板；本群聚焦邊緣模型營運、離線自治與裝置可信度。本 App 的獨立邊界是「偵測雲端失聯或異常指令後切入保守控制」，主要產出為「避免危險」，不是一般登錄、查詢或看板。</x:v>
      </x:c>
      <x:c r="Q478" s="38" t="n">
        <x:v>4</x:v>
      </x:c>
      <x:c r="R478" s="38" t="n">
        <x:v>5</x:v>
      </x:c>
      <x:c r="S478" s="38" t="str">
        <x:v>P2</x:v>
      </x:c>
      <x:c r="T478" s="38" t="n">
        <x:v>11</x:v>
      </x:c>
      <x:c r="U478" s="39" t="str">
        <x:v>Wave 3 垂直擴充</x:v>
      </x:c>
    </x:row>
    <x:row r="479" ht="86" customHeight="1">
      <x:c r="A479" s="36" t="str">
        <x:v>JV-475</x:v>
      </x:c>
      <x:c r="B479" s="37" t="str">
        <x:v>低頻寬語意摘要器</x:v>
      </x:c>
      <x:c r="C479" s="37" t="str">
        <x:v>IoT／Edge AI</x:v>
      </x:c>
      <x:c r="D479" s="37" t="str">
        <x:v>離線自治</x:v>
      </x:c>
      <x:c r="E479" s="37" t="str">
        <x:v>資訊、廠務、設備、場域營運</x:v>
      </x:c>
      <x:c r="F479" s="37" t="str">
        <x:v>IoT 架構師、設備工程師、場域主管、資安人員</x:v>
      </x:c>
      <x:c r="G479" s="37" t="str">
        <x:v>現行作法對「只回傳事件摘要、特徵與代表片段」多靠人工彙整、個人經驗或事後處理，難以一致追蹤，造成決策延遲與重工。</x:v>
      </x:c>
      <x:c r="H479" s="37" t="str">
        <x:v>資料／事件接入；只回傳事件摘要、特徵與代表片段；證據與信心呈現；例外分流與人工覆核；節省頻寬成效追蹤；完整稽核軌跡</x:v>
      </x:c>
      <x:c r="I479" s="37" t="str">
        <x:v>RAG 檢索與來源引用；規則＋模型混合判斷；矛盾檢查；專門模型焦點：只回傳事件摘要、特徵與代表片段</x:v>
      </x:c>
      <x:c r="J479" s="37" t="str">
        <x:v>與多個專業 Agent 協作拆解任務，保留交接證據、逾時升級並在失敗時安全回滾</x:v>
      </x:c>
      <x:c r="K479" s="37" t="str">
        <x:v>L2 建議／需核准</x:v>
      </x:c>
      <x:c r="L479" s="37" t="str">
        <x:v>感測、影像、設備狀態、韌體、網路、推論、電力與位置資料</x:v>
      </x:c>
      <x:c r="M479" s="37" t="str">
        <x:v>IoT 平台、Edge Gateway、SCADA、EAM、SIEM、雲端 AI</x:v>
      </x:c>
      <x:c r="N479" s="37" t="str">
        <x:v>大量邊緣裝置網路不穩且資源有限，需要在現場安全推論、自癒與更新。Demo：匯入一組去識別資料，觸發「只回傳事件摘要、特徵與代表片段」，由系統提出證據、建議與下一步；使用者核准後回寫任務，最後呈現「節省頻寬」前後差異。</x:v>
      </x:c>
      <x:c r="O479" s="37" t="str">
        <x:v>中低</x:v>
      </x:c>
      <x:c r="P479" s="37" t="str">
        <x:v>鄰近既有能力：原有 IoT 可能做連線與看板；本群聚焦邊緣模型營運、離線自治與裝置可信度。本 App 的獨立邊界是「只回傳事件摘要、特徵與代表片段」，主要產出為「節省頻寬」，不是一般登錄、查詢或看板。</x:v>
      </x:c>
      <x:c r="Q479" s="38" t="n">
        <x:v>3</x:v>
      </x:c>
      <x:c r="R479" s="38" t="n">
        <x:v>5</x:v>
      </x:c>
      <x:c r="S479" s="38" t="str">
        <x:v>P2</x:v>
      </x:c>
      <x:c r="T479" s="38" t="n">
        <x:v>11</x:v>
      </x:c>
      <x:c r="U479" s="39" t="str">
        <x:v>Wave 3 垂直擴充</x:v>
      </x:c>
    </x:row>
    <x:row r="480" ht="86" customHeight="1">
      <x:c r="A480" s="36" t="str">
        <x:v>JV-476</x:v>
      </x:c>
      <x:c r="B480" s="37" t="str">
        <x:v>IoT 裝置身分健康雷達</x:v>
      </x:c>
      <x:c r="C480" s="37" t="str">
        <x:v>IoT／Edge AI</x:v>
      </x:c>
      <x:c r="D480" s="37" t="str">
        <x:v>裝置可信與韌性</x:v>
      </x:c>
      <x:c r="E480" s="37" t="str">
        <x:v>資訊、廠務、設備、場域營運</x:v>
      </x:c>
      <x:c r="F480" s="37" t="str">
        <x:v>IoT 架構師、設備工程師、場域主管、資安人員</x:v>
      </x:c>
      <x:c r="G480" s="37" t="str">
        <x:v>現行作法對「追蹤憑證、韌體、硬體與行為可信度」多靠人工彙整、個人經驗或事後處理，難以一致追蹤，造成決策延遲與重工。</x:v>
      </x:c>
      <x:c r="H480" s="37" t="str">
        <x:v>資料／事件接入；追蹤憑證、韌體、硬體與行為可信度；證據與信心呈現；例外分流與人工覆核；發現冒用成效追蹤；完整稽核軌跡</x:v>
      </x:c>
      <x:c r="I480" s="37" t="str">
        <x:v>語意分類與實體抽取；風險／信心評分；具證據的生成與摘要；專門模型焦點：追蹤憑證、韌體、硬體與行為可信度</x:v>
      </x:c>
      <x:c r="J480" s="37" t="str">
        <x:v>持續監測事件，達門檻後建立案件、蒐集證據、指派責任並追蹤結案；高風險動作需人工核准</x:v>
      </x:c>
      <x:c r="K480" s="37" t="str">
        <x:v>L3 可執行／關鍵核准</x:v>
      </x:c>
      <x:c r="L480" s="37" t="str">
        <x:v>感測、影像、設備狀態、韌體、網路、推論、電力與位置資料</x:v>
      </x:c>
      <x:c r="M480" s="37" t="str">
        <x:v>IoT 平台、Edge Gateway、SCADA、EAM、SIEM、雲端 AI</x:v>
      </x:c>
      <x:c r="N480" s="37" t="str">
        <x:v>大量邊緣裝置網路不穩且資源有限，需要在現場安全推論、自癒與更新。Demo：匯入一組去識別資料，觸發「追蹤憑證、韌體、硬體與行為可信度」，由系統提出證據、建議與下一步；使用者核准後回寫任務，最後呈現「發現冒用」前後差異。</x:v>
      </x:c>
      <x:c r="O480" s="37" t="str">
        <x:v>中低</x:v>
      </x:c>
      <x:c r="P480" s="37" t="str">
        <x:v>鄰近既有能力：原有 IoT 可能做連線與看板；本群聚焦邊緣模型營運、離線自治與裝置可信度。本 App 的獨立邊界是「追蹤憑證、韌體、硬體與行為可信度」，主要產出為「發現冒用」，不是一般登錄、查詢或看板。</x:v>
      </x:c>
      <x:c r="Q480" s="38" t="n">
        <x:v>4</x:v>
      </x:c>
      <x:c r="R480" s="38" t="n">
        <x:v>4</x:v>
      </x:c>
      <x:c r="S480" s="38" t="str">
        <x:v>P2</x:v>
      </x:c>
      <x:c r="T480" s="38" t="n">
        <x:v>9</x:v>
      </x:c>
      <x:c r="U480" s="39" t="str">
        <x:v>Wave 3 垂直擴充</x:v>
      </x:c>
    </x:row>
    <x:row r="481" ht="86" customHeight="1">
      <x:c r="A481" s="36" t="str">
        <x:v>JV-477</x:v>
      </x:c>
      <x:c r="B481" s="37" t="str">
        <x:v>感測器可信度融合器</x:v>
      </x:c>
      <x:c r="C481" s="37" t="str">
        <x:v>IoT／Edge AI</x:v>
      </x:c>
      <x:c r="D481" s="37" t="str">
        <x:v>裝置可信與韌性</x:v>
      </x:c>
      <x:c r="E481" s="37" t="str">
        <x:v>資訊、廠務、設備、場域營運</x:v>
      </x:c>
      <x:c r="F481" s="37" t="str">
        <x:v>IoT 架構師、設備工程師、場域主管、資安人員</x:v>
      </x:c>
      <x:c r="G481" s="37" t="str">
        <x:v>現行作法對「比較多感測器與物理規則判斷故障讀值」多靠人工彙整、個人經驗或事後處理，難以一致追蹤，造成決策延遲與重工。</x:v>
      </x:c>
      <x:c r="H481" s="37" t="str">
        <x:v>資料／事件接入；比較多感測器與物理規則判斷故障讀值；證據與信心呈現；例外分流與人工覆核；避免錯誤決策成效追蹤；完整稽核軌跡</x:v>
      </x:c>
      <x:c r="I481" s="37" t="str">
        <x:v>預測與情境模擬；多目標最佳化；不確定性呈現；專門模型焦點：比較多感測器與物理規則判斷故障讀值</x:v>
      </x:c>
      <x:c r="J481" s="37" t="str">
        <x:v>定期掃描資料與外部訊號，提出優先序與建議；經核准後同步任務與更新來源系統</x:v>
      </x:c>
      <x:c r="K481" s="37" t="str">
        <x:v>L2 建議／需核准</x:v>
      </x:c>
      <x:c r="L481" s="37" t="str">
        <x:v>感測、影像、設備狀態、韌體、網路、推論、電力與位置資料</x:v>
      </x:c>
      <x:c r="M481" s="37" t="str">
        <x:v>IoT 平台、Edge Gateway、SCADA、EAM、SIEM、雲端 AI</x:v>
      </x:c>
      <x:c r="N481" s="37" t="str">
        <x:v>大量邊緣裝置網路不穩且資源有限，需要在現場安全推論、自癒與更新。Demo：匯入一組去識別資料，觸發「比較多感測器與物理規則判斷故障讀值」，由系統提出證據、建議與下一步；使用者核准後回寫任務，最後呈現「避免錯誤決策」前後差異。</x:v>
      </x:c>
      <x:c r="O481" s="37" t="str">
        <x:v>低</x:v>
      </x:c>
      <x:c r="P481" s="37" t="str">
        <x:v>鄰近既有能力：原有 IoT 可能做連線與看板；本群聚焦邊緣模型營運、離線自治與裝置可信度。本 App 的獨立邊界是「比較多感測器與物理規則判斷故障讀值」，主要產出為「避免錯誤決策」，不是一般登錄、查詢或看板。</x:v>
      </x:c>
      <x:c r="Q481" s="38" t="n">
        <x:v>4</x:v>
      </x:c>
      <x:c r="R481" s="38" t="n">
        <x:v>5</x:v>
      </x:c>
      <x:c r="S481" s="38" t="str">
        <x:v>P2</x:v>
      </x:c>
      <x:c r="T481" s="38" t="n">
        <x:v>11</x:v>
      </x:c>
      <x:c r="U481" s="39" t="str">
        <x:v>Wave 3 垂直擴充</x:v>
      </x:c>
    </x:row>
    <x:row r="482" ht="86" customHeight="1">
      <x:c r="A482" s="36" t="str">
        <x:v>JV-478</x:v>
      </x:c>
      <x:c r="B482" s="37" t="str">
        <x:v>韌體更新風險規劃器</x:v>
      </x:c>
      <x:c r="C482" s="37" t="str">
        <x:v>IoT／Edge AI</x:v>
      </x:c>
      <x:c r="D482" s="37" t="str">
        <x:v>裝置可信與韌性</x:v>
      </x:c>
      <x:c r="E482" s="37" t="str">
        <x:v>資訊、廠務、設備、場域營運</x:v>
      </x:c>
      <x:c r="F482" s="37" t="str">
        <x:v>IoT 架構師、設備工程師、場域主管、資安人員</x:v>
      </x:c>
      <x:c r="G482" s="37" t="str">
        <x:v>現行作法對「依依賴、電力、網路與業務窗口排程」多靠人工彙整、個人經驗或事後處理，難以一致追蹤，造成決策延遲與重工。</x:v>
      </x:c>
      <x:c r="H482" s="37" t="str">
        <x:v>資料／事件接入；依依賴、電力、網路與業務窗口排程；證據與信心呈現；例外分流與人工覆核；安全更新成效追蹤；完整稽核軌跡</x:v>
      </x:c>
      <x:c r="I482" s="37" t="str">
        <x:v>跨文件／跨系統比對；圖譜推理；差異與缺口生成；專門模型焦點：依依賴、電力、網路與業務窗口排程</x:v>
      </x:c>
      <x:c r="J482" s="37" t="str">
        <x:v>以人機協作模式先產生草案與證據包，接受修改後執行核准步驟並建立完整稽核軌跡</x:v>
      </x:c>
      <x:c r="K482" s="37" t="str">
        <x:v>L2 建議／需核准</x:v>
      </x:c>
      <x:c r="L482" s="37" t="str">
        <x:v>感測、影像、設備狀態、韌體、網路、推論、電力與位置資料</x:v>
      </x:c>
      <x:c r="M482" s="37" t="str">
        <x:v>IoT 平台、Edge Gateway、SCADA、EAM、SIEM、雲端 AI</x:v>
      </x:c>
      <x:c r="N482" s="37" t="str">
        <x:v>大量邊緣裝置網路不穩且資源有限，需要在現場安全推論、自癒與更新。Demo：匯入一組去識別資料，觸發「依依賴、電力、網路與業務窗口排程」，由系統提出證據、建議與下一步；使用者核准後回寫任務，最後呈現「安全更新」前後差異。</x:v>
      </x:c>
      <x:c r="O482" s="37" t="str">
        <x:v>低</x:v>
      </x:c>
      <x:c r="P482" s="37" t="str">
        <x:v>鄰近既有能力：原有 IoT 可能做連線與看板；本群聚焦邊緣模型營運、離線自治與裝置可信度。本 App 的獨立邊界是「依依賴、電力、網路與業務窗口排程」，主要產出為「安全更新」，不是一般登錄、查詢或看板。</x:v>
      </x:c>
      <x:c r="Q482" s="38" t="n">
        <x:v>4</x:v>
      </x:c>
      <x:c r="R482" s="38" t="n">
        <x:v>5</x:v>
      </x:c>
      <x:c r="S482" s="38" t="str">
        <x:v>P2</x:v>
      </x:c>
      <x:c r="T482" s="38" t="n">
        <x:v>11</x:v>
      </x:c>
      <x:c r="U482" s="39" t="str">
        <x:v>Wave 3 垂直擴充</x:v>
      </x:c>
    </x:row>
    <x:row r="483" ht="86" customHeight="1">
      <x:c r="A483" s="36" t="str">
        <x:v>JV-479</x:v>
      </x:c>
      <x:c r="B483" s="37" t="str">
        <x:v>邊緣節點自癒協調器</x:v>
      </x:c>
      <x:c r="C483" s="37" t="str">
        <x:v>IoT／Edge AI</x:v>
      </x:c>
      <x:c r="D483" s="37" t="str">
        <x:v>裝置可信與韌性</x:v>
      </x:c>
      <x:c r="E483" s="37" t="str">
        <x:v>資訊、廠務、設備、場域營運</x:v>
      </x:c>
      <x:c r="F483" s="37" t="str">
        <x:v>IoT 架構師、設備工程師、場域主管、資安人員</x:v>
      </x:c>
      <x:c r="G483" s="37" t="str">
        <x:v>現行作法對「重啟服務、切換備援、降級並驗證恢復」多靠人工彙整、個人經驗或事後處理，難以一致追蹤，造成決策延遲與重工。</x:v>
      </x:c>
      <x:c r="H483" s="37" t="str">
        <x:v>資料／事件接入；重啟服務、切換備援、降級並驗證恢復；證據與信心呈現；例外分流與人工覆核；降低現場維修成效追蹤；完整稽核軌跡</x:v>
      </x:c>
      <x:c r="I483" s="37" t="str">
        <x:v>異常偵測；因果線索分析；可解釋的建議排序；專門模型焦點：重啟服務、切換備援、降級並驗證恢復</x:v>
      </x:c>
      <x:c r="J483" s="37" t="str">
        <x:v>依目標自主規劃步驟、呼叫核准工具、遇到例外改走人工佇列，完成後驗證結果並回報</x:v>
      </x:c>
      <x:c r="K483" s="37" t="str">
        <x:v>L2 建議／需核准</x:v>
      </x:c>
      <x:c r="L483" s="37" t="str">
        <x:v>感測、影像、設備狀態、韌體、網路、推論、電力與位置資料</x:v>
      </x:c>
      <x:c r="M483" s="37" t="str">
        <x:v>IoT 平台、Edge Gateway、SCADA、EAM、SIEM、雲端 AI</x:v>
      </x:c>
      <x:c r="N483" s="37" t="str">
        <x:v>大量邊緣裝置網路不穩且資源有限，需要在現場安全推論、自癒與更新。Demo：匯入一組去識別資料，觸發「重啟服務、切換備援、降級並驗證恢復」，由系統提出證據、建議與下一步；使用者核准後回寫任務，最後呈現「降低現場維修」前後差異。</x:v>
      </x:c>
      <x:c r="O483" s="37" t="str">
        <x:v>低</x:v>
      </x:c>
      <x:c r="P483" s="37" t="str">
        <x:v>鄰近既有能力：原有 IoT 可能做連線與看板；本群聚焦邊緣模型營運、離線自治與裝置可信度。本 App 的獨立邊界是「重啟服務、切換備援、降級並驗證恢復」，主要產出為「降低現場維修」，不是一般登錄、查詢或看板。</x:v>
      </x:c>
      <x:c r="Q483" s="38" t="n">
        <x:v>4</x:v>
      </x:c>
      <x:c r="R483" s="38" t="n">
        <x:v>5</x:v>
      </x:c>
      <x:c r="S483" s="38" t="str">
        <x:v>P2</x:v>
      </x:c>
      <x:c r="T483" s="38" t="n">
        <x:v>11</x:v>
      </x:c>
      <x:c r="U483" s="39" t="str">
        <x:v>Wave 3 垂直擴充</x:v>
      </x:c>
    </x:row>
    <x:row r="484" ht="86" customHeight="1">
      <x:c r="A484" s="36" t="str">
        <x:v>JV-480</x:v>
      </x:c>
      <x:c r="B484" s="37" t="str">
        <x:v>裝置退役資料清除 Agent</x:v>
      </x:c>
      <x:c r="C484" s="37" t="str">
        <x:v>IoT／Edge AI</x:v>
      </x:c>
      <x:c r="D484" s="37" t="str">
        <x:v>裝置可信與韌性</x:v>
      </x:c>
      <x:c r="E484" s="37" t="str">
        <x:v>資訊、廠務、設備、場域營運</x:v>
      </x:c>
      <x:c r="F484" s="37" t="str">
        <x:v>IoT 架構師、設備工程師、場域主管、資安人員</x:v>
      </x:c>
      <x:c r="G484" s="37" t="str">
        <x:v>現行作法對「完成金鑰撤銷、資料抹除與資產關閉證據」多靠人工彙整、個人經驗或事後處理，難以一致追蹤，造成決策延遲與重工。</x:v>
      </x:c>
      <x:c r="H484" s="37" t="str">
        <x:v>資料／事件接入；完成金鑰撤銷、資料抹除與資產關閉證據；證據與信心呈現；例外分流與人工覆核；安全退場成效追蹤；完整稽核軌跡</x:v>
      </x:c>
      <x:c r="I484" s="37" t="str">
        <x:v>RAG 檢索與來源引用；規則＋模型混合判斷；矛盾檢查；專門模型焦點：完成金鑰撤銷、資料抹除與資產關閉證據</x:v>
      </x:c>
      <x:c r="J484" s="37" t="str">
        <x:v>與多個專業 Agent 協作拆解任務，保留交接證據、逾時升級並在失敗時安全回滾</x:v>
      </x:c>
      <x:c r="K484" s="37" t="str">
        <x:v>L2 建議／需核准</x:v>
      </x:c>
      <x:c r="L484" s="37" t="str">
        <x:v>感測、影像、設備狀態、韌體、網路、推論、電力與位置資料</x:v>
      </x:c>
      <x:c r="M484" s="37" t="str">
        <x:v>IoT 平台、Edge Gateway、SCADA、EAM、SIEM、雲端 AI</x:v>
      </x:c>
      <x:c r="N484" s="37" t="str">
        <x:v>大量邊緣裝置網路不穩且資源有限，需要在現場安全推論、自癒與更新。Demo：匯入一組去識別資料，觸發「完成金鑰撤銷、資料抹除與資產關閉證據」，由系統提出證據、建議與下一步；使用者核准後回寫任務，最後呈現「安全退場」前後差異。</x:v>
      </x:c>
      <x:c r="O484" s="37" t="str">
        <x:v>中低</x:v>
      </x:c>
      <x:c r="P484" s="37" t="str">
        <x:v>鄰近既有能力：原有 IoT 可能做連線與看板；本群聚焦邊緣模型營運、離線自治與裝置可信度。本 App 的獨立邊界是「完成金鑰撤銷、資料抹除與資產關閉證據」，主要產出為「安全退場」，不是一般登錄、查詢或看板。</x:v>
      </x:c>
      <x:c r="Q484" s="38" t="n">
        <x:v>4</x:v>
      </x:c>
      <x:c r="R484" s="38" t="n">
        <x:v>5</x:v>
      </x:c>
      <x:c r="S484" s="38" t="str">
        <x:v>P2</x:v>
      </x:c>
      <x:c r="T484" s="38" t="n">
        <x:v>11</x:v>
      </x:c>
      <x:c r="U484" s="39" t="str">
        <x:v>Wave 3 垂直擴充</x:v>
      </x:c>
    </x:row>
    <x:row r="485" ht="86" customHeight="1">
      <x:c r="A485" s="36" t="str">
        <x:v>JV-481</x:v>
      </x:c>
      <x:c r="B485" s="37" t="str">
        <x:v>企業 MCP Hub</x:v>
      </x:c>
      <x:c r="C485" s="37" t="str">
        <x:v>MCP／Skills／API</x:v>
      </x:c>
      <x:c r="D485" s="37" t="str">
        <x:v>MCP 平台治理</x:v>
      </x:c>
      <x:c r="E485" s="37" t="str">
        <x:v>資訊、平台工程、數位轉型</x:v>
      </x:c>
      <x:c r="F485" s="37" t="str">
        <x:v>平台架構師、整合工程師、AI 應用開發者</x:v>
      </x:c>
      <x:c r="G485" s="37" t="str">
        <x:v>現行作法對「集中註冊、發現、授權與監控 MCP Server」多靠人工彙整、個人經驗或事後處理，難以一致追蹤，造成決策延遲與重工。</x:v>
      </x:c>
      <x:c r="H485" s="37" t="str">
        <x:v>資料／事件接入；集中註冊、發現、授權與監控 MCP Server；證據與信心呈現；例外分流與人工覆核；形成統一入口成效追蹤；完整稽核軌跡</x:v>
      </x:c>
      <x:c r="I485" s="37" t="str">
        <x:v>語意分類與實體抽取；風險／信心評分；具證據的生成與摘要；專門模型焦點：集中註冊、發現、授權與監控 MCP Server</x:v>
      </x:c>
      <x:c r="J485" s="37" t="str">
        <x:v>持續監測事件，達門檻後建立案件、蒐集證據、指派責任並追蹤結案；高風險動作需人工核准</x:v>
      </x:c>
      <x:c r="K485" s="37" t="str">
        <x:v>L3 可執行／關鍵核准</x:v>
      </x:c>
      <x:c r="L485" s="37" t="str">
        <x:v>API 規格、MCP/Skill 定義、憑證、呼叫軌跡、Schema、SLA 與費用</x:v>
      </x:c>
      <x:c r="M485" s="37" t="str">
        <x:v>API Gateway、ESB、IAM、ERP、MES、CRM、MCP Server、Agent OS</x:v>
      </x:c>
      <x:c r="N485" s="37" t="str">
        <x:v>企業要把既有系統安全轉成 AI Agent 可使用的工具與 Skill，並集中治理。Demo：匯入一組去識別資料，觸發「集中註冊、發現、授權與監控 MCP Server」，由系統提出證據、建議與下一步；使用者核准後回寫任務，最後呈現「形成統一入口」前後差異。</x:v>
      </x:c>
      <x:c r="O485" s="37" t="str">
        <x:v>中低</x:v>
      </x:c>
      <x:c r="P485" s="37" t="str">
        <x:v>鄰近既有能力：原有系統整合多為固定 API；本群聚焦 Agent 可發現、可授權、可測試的能力層。本 App 的獨立邊界是「集中註冊、發現、授權與監控 MCP Server」，主要產出為「形成統一入口」，不是一般登錄、查詢或看板。</x:v>
      </x:c>
      <x:c r="Q485" s="38" t="n">
        <x:v>5</x:v>
      </x:c>
      <x:c r="R485" s="38" t="n">
        <x:v>3</x:v>
      </x:c>
      <x:c r="S485" s="38" t="str">
        <x:v>P0</x:v>
      </x:c>
      <x:c r="T485" s="38" t="n">
        <x:v>6</x:v>
      </x:c>
      <x:c r="U485" s="39" t="str">
        <x:v>Wave 1 平台底座／旗艦</x:v>
      </x:c>
    </x:row>
    <x:row r="486" ht="86" customHeight="1">
      <x:c r="A486" s="36" t="str">
        <x:v>JV-482</x:v>
      </x:c>
      <x:c r="B486" s="37" t="str">
        <x:v>MCP Server 就緒度檢查器</x:v>
      </x:c>
      <x:c r="C486" s="37" t="str">
        <x:v>MCP／Skills／API</x:v>
      </x:c>
      <x:c r="D486" s="37" t="str">
        <x:v>MCP 平台治理</x:v>
      </x:c>
      <x:c r="E486" s="37" t="str">
        <x:v>資訊、平台工程、數位轉型</x:v>
      </x:c>
      <x:c r="F486" s="37" t="str">
        <x:v>平台架構師、整合工程師、AI 應用開發者</x:v>
      </x:c>
      <x:c r="G486" s="37" t="str">
        <x:v>現行作法對「驗證 Schema、錯誤、權限、冪等與文件」多靠人工彙整、個人經驗或事後處理，難以一致追蹤，造成決策延遲與重工。</x:v>
      </x:c>
      <x:c r="H486" s="37" t="str">
        <x:v>資料／事件接入；驗證 Schema、錯誤、權限、冪等與文件；證據與信心呈現；例外分流與人工覆核；提高上架品質成效追蹤；完整稽核軌跡</x:v>
      </x:c>
      <x:c r="I486" s="37" t="str">
        <x:v>預測與情境模擬；多目標最佳化；不確定性呈現；專門模型焦點：驗證 Schema、錯誤、權限、冪等與文件</x:v>
      </x:c>
      <x:c r="J486" s="37" t="str">
        <x:v>定期掃描資料與外部訊號，提出優先序與建議；經核准後同步任務與更新來源系統</x:v>
      </x:c>
      <x:c r="K486" s="37" t="str">
        <x:v>L4 有護欄自主執行</x:v>
      </x:c>
      <x:c r="L486" s="37" t="str">
        <x:v>API 規格、MCP/Skill 定義、憑證、呼叫軌跡、Schema、SLA 與費用</x:v>
      </x:c>
      <x:c r="M486" s="37" t="str">
        <x:v>API Gateway、ESB、IAM、ERP、MES、CRM、MCP Server、Agent OS</x:v>
      </x:c>
      <x:c r="N486" s="37" t="str">
        <x:v>企業要把既有系統安全轉成 AI Agent 可使用的工具與 Skill，並集中治理。Demo：匯入一組去識別資料，觸發「驗證 Schema、錯誤、權限、冪等與文件」，由系統提出證據、建議與下一步；使用者核准後回寫任務，最後呈現「提高上架品質」前後差異。</x:v>
      </x:c>
      <x:c r="O486" s="37" t="str">
        <x:v>低</x:v>
      </x:c>
      <x:c r="P486" s="37" t="str">
        <x:v>鄰近既有能力：原有系統整合多為固定 API；本群聚焦 Agent 可發現、可授權、可測試的能力層。本 App 的獨立邊界是「驗證 Schema、錯誤、權限、冪等與文件」，主要產出為「提高上架品質」，不是一般登錄、查詢或看板。</x:v>
      </x:c>
      <x:c r="Q486" s="38" t="n">
        <x:v>5</x:v>
      </x:c>
      <x:c r="R486" s="38" t="n">
        <x:v>4</x:v>
      </x:c>
      <x:c r="S486" s="38" t="str">
        <x:v>P0</x:v>
      </x:c>
      <x:c r="T486" s="38" t="n">
        <x:v>8</x:v>
      </x:c>
      <x:c r="U486" s="39" t="str">
        <x:v>Wave 1 平台底座／旗艦</x:v>
      </x:c>
    </x:row>
    <x:row r="487" ht="86" customHeight="1">
      <x:c r="A487" s="36" t="str">
        <x:v>JV-483</x:v>
      </x:c>
      <x:c r="B487" s="37" t="str">
        <x:v>MCP 工具風險分級器</x:v>
      </x:c>
      <x:c r="C487" s="37" t="str">
        <x:v>MCP／Skills／API</x:v>
      </x:c>
      <x:c r="D487" s="37" t="str">
        <x:v>MCP 平台治理</x:v>
      </x:c>
      <x:c r="E487" s="37" t="str">
        <x:v>資訊、平台工程、數位轉型</x:v>
      </x:c>
      <x:c r="F487" s="37" t="str">
        <x:v>平台架構師、整合工程師、AI 應用開發者</x:v>
      </x:c>
      <x:c r="G487" s="37" t="str">
        <x:v>現行作法對「依資料、寫入、金額與可逆性分級」多靠人工彙整、個人經驗或事後處理，難以一致追蹤，造成決策延遲與重工。</x:v>
      </x:c>
      <x:c r="H487" s="37" t="str">
        <x:v>資料／事件接入；依資料、寫入、金額與可逆性分級；證據與信心呈現；例外分流與人工覆核；套用合適核准成效追蹤；完整稽核軌跡</x:v>
      </x:c>
      <x:c r="I487" s="37" t="str">
        <x:v>跨文件／跨系統比對；圖譜推理；差異與缺口生成；專門模型焦點：依資料、寫入、金額與可逆性分級</x:v>
      </x:c>
      <x:c r="J487" s="37" t="str">
        <x:v>以人機協作模式先產生草案與證據包，接受修改後執行核准步驟並建立完整稽核軌跡</x:v>
      </x:c>
      <x:c r="K487" s="37" t="str">
        <x:v>L4 有護欄自主執行</x:v>
      </x:c>
      <x:c r="L487" s="37" t="str">
        <x:v>API 規格、MCP/Skill 定義、憑證、呼叫軌跡、Schema、SLA 與費用</x:v>
      </x:c>
      <x:c r="M487" s="37" t="str">
        <x:v>API Gateway、ESB、IAM、ERP、MES、CRM、MCP Server、Agent OS</x:v>
      </x:c>
      <x:c r="N487" s="37" t="str">
        <x:v>企業要把既有系統安全轉成 AI Agent 可使用的工具與 Skill，並集中治理。Demo：匯入一組去識別資料，觸發「依資料、寫入、金額與可逆性分級」，由系統提出證據、建議與下一步；使用者核准後回寫任務，最後呈現「套用合適核准」前後差異。</x:v>
      </x:c>
      <x:c r="O487" s="37" t="str">
        <x:v>低</x:v>
      </x:c>
      <x:c r="P487" s="37" t="str">
        <x:v>鄰近既有能力：原有系統整合多為固定 API；本群聚焦 Agent 可發現、可授權、可測試的能力層。本 App 的獨立邊界是「依資料、寫入、金額與可逆性分級」，主要產出為「套用合適核准」，不是一般登錄、查詢或看板。</x:v>
      </x:c>
      <x:c r="Q487" s="38" t="n">
        <x:v>5</x:v>
      </x:c>
      <x:c r="R487" s="38" t="n">
        <x:v>4</x:v>
      </x:c>
      <x:c r="S487" s="38" t="str">
        <x:v>P0</x:v>
      </x:c>
      <x:c r="T487" s="38" t="n">
        <x:v>8</x:v>
      </x:c>
      <x:c r="U487" s="39" t="str">
        <x:v>Wave 1 平台底座／旗艦</x:v>
      </x:c>
    </x:row>
    <x:row r="488" ht="86" customHeight="1">
      <x:c r="A488" s="36" t="str">
        <x:v>JV-484</x:v>
      </x:c>
      <x:c r="B488" s="37" t="str">
        <x:v>MCP 呼叫政策閘道</x:v>
      </x:c>
      <x:c r="C488" s="37" t="str">
        <x:v>MCP／Skills／API</x:v>
      </x:c>
      <x:c r="D488" s="37" t="str">
        <x:v>MCP 平台治理</x:v>
      </x:c>
      <x:c r="E488" s="37" t="str">
        <x:v>資訊、平台工程、數位轉型</x:v>
      </x:c>
      <x:c r="F488" s="37" t="str">
        <x:v>平台架構師、整合工程師、AI 應用開發者</x:v>
      </x:c>
      <x:c r="G488" s="37" t="str">
        <x:v>現行作法對「執行參數驗證、限流、遮罩與審批」多靠人工彙整、個人經驗或事後處理，難以一致追蹤，造成決策延遲與重工。</x:v>
      </x:c>
      <x:c r="H488" s="37" t="str">
        <x:v>資料／事件接入；執行參數驗證、限流、遮罩與審批；證據與信心呈現；例外分流與人工覆核；安全開放工具成效追蹤；完整稽核軌跡</x:v>
      </x:c>
      <x:c r="I488" s="37" t="str">
        <x:v>異常偵測；因果線索分析；可解釋的建議排序；專門模型焦點：執行參數驗證、限流、遮罩與審批</x:v>
      </x:c>
      <x:c r="J488" s="37" t="str">
        <x:v>依目標自主規劃步驟、呼叫核准工具、遇到例外改走人工佇列，完成後驗證結果並回報</x:v>
      </x:c>
      <x:c r="K488" s="37" t="str">
        <x:v>L4 有護欄自主執行</x:v>
      </x:c>
      <x:c r="L488" s="37" t="str">
        <x:v>API 規格、MCP/Skill 定義、憑證、呼叫軌跡、Schema、SLA 與費用</x:v>
      </x:c>
      <x:c r="M488" s="37" t="str">
        <x:v>API Gateway、ESB、IAM、ERP、MES、CRM、MCP Server、Agent OS</x:v>
      </x:c>
      <x:c r="N488" s="37" t="str">
        <x:v>企業要把既有系統安全轉成 AI Agent 可使用的工具與 Skill，並集中治理。Demo：匯入一組去識別資料，觸發「執行參數驗證、限流、遮罩與審批」，由系統提出證據、建議與下一步；使用者核准後回寫任務，最後呈現「安全開放工具」前後差異。</x:v>
      </x:c>
      <x:c r="O488" s="37" t="str">
        <x:v>低</x:v>
      </x:c>
      <x:c r="P488" s="37" t="str">
        <x:v>鄰近既有能力：原有系統整合多為固定 API；本群聚焦 Agent 可發現、可授權、可測試的能力層。本 App 的獨立邊界是「執行參數驗證、限流、遮罩與審批」，主要產出為「安全開放工具」，不是一般登錄、查詢或看板。</x:v>
      </x:c>
      <x:c r="Q488" s="38" t="n">
        <x:v>4</x:v>
      </x:c>
      <x:c r="R488" s="38" t="n">
        <x:v>4</x:v>
      </x:c>
      <x:c r="S488" s="38" t="str">
        <x:v>P0</x:v>
      </x:c>
      <x:c r="T488" s="38" t="n">
        <x:v>8</x:v>
      </x:c>
      <x:c r="U488" s="39" t="str">
        <x:v>Wave 1 平台底座／旗艦</x:v>
      </x:c>
    </x:row>
    <x:row r="489" ht="86" customHeight="1">
      <x:c r="A489" s="36" t="str">
        <x:v>JV-485</x:v>
      </x:c>
      <x:c r="B489" s="37" t="str">
        <x:v>MCP 相容性回歸測試器</x:v>
      </x:c>
      <x:c r="C489" s="37" t="str">
        <x:v>MCP／Skills／API</x:v>
      </x:c>
      <x:c r="D489" s="37" t="str">
        <x:v>MCP 平台治理</x:v>
      </x:c>
      <x:c r="E489" s="37" t="str">
        <x:v>資訊、平台工程、數位轉型</x:v>
      </x:c>
      <x:c r="F489" s="37" t="str">
        <x:v>平台架構師、整合工程師、AI 應用開發者</x:v>
      </x:c>
      <x:c r="G489" s="37" t="str">
        <x:v>現行作法對「在 Server 或 Client 更新後重跑契約案例」多靠人工彙整、個人經驗或事後處理，難以一致追蹤，造成決策延遲與重工。</x:v>
      </x:c>
      <x:c r="H489" s="37" t="str">
        <x:v>資料／事件接入；在 Server 或 Client 更新後重跑契約案例；證據與信心呈現；例外分流與人工覆核；避免整合中斷成效追蹤；完整稽核軌跡</x:v>
      </x:c>
      <x:c r="I489" s="37" t="str">
        <x:v>RAG 檢索與來源引用；規則＋模型混合判斷；矛盾檢查；專門模型焦點：在 Server 或 Client 更新後重跑契約案例</x:v>
      </x:c>
      <x:c r="J489" s="37" t="str">
        <x:v>與多個專業 Agent 協作拆解任務，保留交接證據、逾時升級並在失敗時安全回滾</x:v>
      </x:c>
      <x:c r="K489" s="37" t="str">
        <x:v>L2 建議／需核准</x:v>
      </x:c>
      <x:c r="L489" s="37" t="str">
        <x:v>API 規格、MCP/Skill 定義、憑證、呼叫軌跡、Schema、SLA 與費用</x:v>
      </x:c>
      <x:c r="M489" s="37" t="str">
        <x:v>API Gateway、ESB、IAM、ERP、MES、CRM、MCP Server、Agent OS</x:v>
      </x:c>
      <x:c r="N489" s="37" t="str">
        <x:v>企業要把既有系統安全轉成 AI Agent 可使用的工具與 Skill，並集中治理。Demo：匯入一組去識別資料，觸發「在 Server 或 Client 更新後重跑契約案例」，由系統提出證據、建議與下一步；使用者核准後回寫任務，最後呈現「避免整合中斷」前後差異。</x:v>
      </x:c>
      <x:c r="O489" s="37" t="str">
        <x:v>中低</x:v>
      </x:c>
      <x:c r="P489" s="37" t="str">
        <x:v>鄰近既有能力：原有系統整合多為固定 API；本群聚焦 Agent 可發現、可授權、可測試的能力層。本 App 的獨立邊界是「在 Server 或 Client 更新後重跑契約案例」，主要產出為「避免整合中斷」，不是一般登錄、查詢或看板。</x:v>
      </x:c>
      <x:c r="Q489" s="38" t="n">
        <x:v>5</x:v>
      </x:c>
      <x:c r="R489" s="38" t="n">
        <x:v>5</x:v>
      </x:c>
      <x:c r="S489" s="38" t="str">
        <x:v>P0</x:v>
      </x:c>
      <x:c r="T489" s="38" t="n">
        <x:v>10</x:v>
      </x:c>
      <x:c r="U489" s="39" t="str">
        <x:v>Wave 1 平台底座／旗艦</x:v>
      </x:c>
    </x:row>
    <x:row r="490" ht="86" customHeight="1">
      <x:c r="A490" s="36" t="str">
        <x:v>JV-486</x:v>
      </x:c>
      <x:c r="B490" s="37" t="str">
        <x:v>企業 Skill Builder</x:v>
      </x:c>
      <x:c r="C490" s="37" t="str">
        <x:v>MCP／Skills／API</x:v>
      </x:c>
      <x:c r="D490" s="37" t="str">
        <x:v>Skill 工程</x:v>
      </x:c>
      <x:c r="E490" s="37" t="str">
        <x:v>資訊、平台工程、數位轉型</x:v>
      </x:c>
      <x:c r="F490" s="37" t="str">
        <x:v>平台架構師、整合工程師、AI 應用開發者</x:v>
      </x:c>
      <x:c r="G490" s="37" t="str">
        <x:v>現行作法對「以自然語言與 SOP 建立可測試 Skill」多靠人工彙整、個人經驗或事後處理，難以一致追蹤，造成決策延遲與重工。</x:v>
      </x:c>
      <x:c r="H490" s="37" t="str">
        <x:v>資料／事件接入；以自然語言與 SOP 建立可測試 Skill；證據與信心呈現；例外分流與人工覆核；讓部門自助擴充成效追蹤；完整稽核軌跡</x:v>
      </x:c>
      <x:c r="I490" s="37" t="str">
        <x:v>語意分類與實體抽取；風險／信心評分；具證據的生成與摘要；專門模型焦點：以自然語言與 SOP 建立可測試 Skill</x:v>
      </x:c>
      <x:c r="J490" s="37" t="str">
        <x:v>持續監測事件，達門檻後建立案件、蒐集證據、指派責任並追蹤結案；高風險動作需人工核准</x:v>
      </x:c>
      <x:c r="K490" s="37" t="str">
        <x:v>L3 可執行／關鍵核准</x:v>
      </x:c>
      <x:c r="L490" s="37" t="str">
        <x:v>API 規格、MCP/Skill 定義、憑證、呼叫軌跡、Schema、SLA 與費用</x:v>
      </x:c>
      <x:c r="M490" s="37" t="str">
        <x:v>API Gateway、ESB、IAM、ERP、MES、CRM、MCP Server、Agent OS</x:v>
      </x:c>
      <x:c r="N490" s="37" t="str">
        <x:v>企業要把既有系統安全轉成 AI Agent 可使用的工具與 Skill，並集中治理。Demo：匯入一組去識別資料，觸發「以自然語言與 SOP 建立可測試 Skill」，由系統提出證據、建議與下一步；使用者核准後回寫任務，最後呈現「讓部門自助擴充」前後差異。</x:v>
      </x:c>
      <x:c r="O490" s="37" t="str">
        <x:v>中低</x:v>
      </x:c>
      <x:c r="P490" s="37" t="str">
        <x:v>鄰近既有能力：原有系統整合多為固定 API；本群聚焦 Agent 可發現、可授權、可測試的能力層。本 App 的獨立邊界是「以自然語言與 SOP 建立可測試 Skill」，主要產出為「讓部門自助擴充」，不是一般登錄、查詢或看板。</x:v>
      </x:c>
      <x:c r="Q490" s="38" t="n">
        <x:v>5</x:v>
      </x:c>
      <x:c r="R490" s="38" t="n">
        <x:v>3</x:v>
      </x:c>
      <x:c r="S490" s="38" t="str">
        <x:v>P1</x:v>
      </x:c>
      <x:c r="T490" s="38" t="n">
        <x:v>7</x:v>
      </x:c>
      <x:c r="U490" s="39" t="str">
        <x:v>Wave 2 高價值套件</x:v>
      </x:c>
    </x:row>
    <x:row r="491" ht="86" customHeight="1">
      <x:c r="A491" s="36" t="str">
        <x:v>JV-487</x:v>
      </x:c>
      <x:c r="B491" s="37" t="str">
        <x:v>Skill 依賴解析器</x:v>
      </x:c>
      <x:c r="C491" s="37" t="str">
        <x:v>MCP／Skills／API</x:v>
      </x:c>
      <x:c r="D491" s="37" t="str">
        <x:v>Skill 工程</x:v>
      </x:c>
      <x:c r="E491" s="37" t="str">
        <x:v>資訊、平台工程、數位轉型</x:v>
      </x:c>
      <x:c r="F491" s="37" t="str">
        <x:v>平台架構師、整合工程師、AI 應用開發者</x:v>
      </x:c>
      <x:c r="G491" s="37" t="str">
        <x:v>現行作法對「分析工具、知識、權限與子 Skill 依賴」多靠人工彙整、個人經驗或事後處理，難以一致追蹤，造成決策延遲與重工。</x:v>
      </x:c>
      <x:c r="H491" s="37" t="str">
        <x:v>資料／事件接入；分析工具、知識、權限與子 Skill 依賴；證據與信心呈現；例外分流與人工覆核；避免安裝失敗成效追蹤；完整稽核軌跡</x:v>
      </x:c>
      <x:c r="I491" s="37" t="str">
        <x:v>預測與情境模擬；多目標最佳化；不確定性呈現；專門模型焦點：分析工具、知識、權限與子 Skill 依賴</x:v>
      </x:c>
      <x:c r="J491" s="37" t="str">
        <x:v>定期掃描資料與外部訊號，提出優先序與建議；經核准後同步任務與更新來源系統</x:v>
      </x:c>
      <x:c r="K491" s="37" t="str">
        <x:v>L4 有護欄自主執行</x:v>
      </x:c>
      <x:c r="L491" s="37" t="str">
        <x:v>API 規格、MCP/Skill 定義、憑證、呼叫軌跡、Schema、SLA 與費用</x:v>
      </x:c>
      <x:c r="M491" s="37" t="str">
        <x:v>API Gateway、ESB、IAM、ERP、MES、CRM、MCP Server、Agent OS</x:v>
      </x:c>
      <x:c r="N491" s="37" t="str">
        <x:v>企業要把既有系統安全轉成 AI Agent 可使用的工具與 Skill，並集中治理。Demo：匯入一組去識別資料，觸發「分析工具、知識、權限與子 Skill 依賴」，由系統提出證據、建議與下一步；使用者核准後回寫任務，最後呈現「避免安裝失敗」前後差異。</x:v>
      </x:c>
      <x:c r="O491" s="37" t="str">
        <x:v>低</x:v>
      </x:c>
      <x:c r="P491" s="37" t="str">
        <x:v>鄰近既有能力：原有系統整合多為固定 API；本群聚焦 Agent 可發現、可授權、可測試的能力層。本 App 的獨立邊界是「分析工具、知識、權限與子 Skill 依賴」，主要產出為「避免安裝失敗」，不是一般登錄、查詢或看板。</x:v>
      </x:c>
      <x:c r="Q491" s="38" t="n">
        <x:v>5</x:v>
      </x:c>
      <x:c r="R491" s="38" t="n">
        <x:v>4</x:v>
      </x:c>
      <x:c r="S491" s="38" t="str">
        <x:v>P0</x:v>
      </x:c>
      <x:c r="T491" s="38" t="n">
        <x:v>8</x:v>
      </x:c>
      <x:c r="U491" s="39" t="str">
        <x:v>Wave 1 平台底座／旗艦</x:v>
      </x:c>
    </x:row>
    <x:row r="492" ht="86" customHeight="1">
      <x:c r="A492" s="36" t="str">
        <x:v>JV-488</x:v>
      </x:c>
      <x:c r="B492" s="37" t="str">
        <x:v>Skill 品質評測台</x:v>
      </x:c>
      <x:c r="C492" s="37" t="str">
        <x:v>MCP／Skills／API</x:v>
      </x:c>
      <x:c r="D492" s="37" t="str">
        <x:v>Skill 工程</x:v>
      </x:c>
      <x:c r="E492" s="37" t="str">
        <x:v>資訊、平台工程、數位轉型</x:v>
      </x:c>
      <x:c r="F492" s="37" t="str">
        <x:v>平台架構師、整合工程師、AI 應用開發者</x:v>
      </x:c>
      <x:c r="G492" s="37" t="str">
        <x:v>現行作法對「用任務集比較完成率、成本與安全性」多靠人工彙整、個人經驗或事後處理，難以一致追蹤，造成決策延遲與重工。</x:v>
      </x:c>
      <x:c r="H492" s="37" t="str">
        <x:v>資料／事件接入；用任務集比較完成率、成本與安全性；證據與信心呈現；例外分流與人工覆核；建立上架門檻成效追蹤；完整稽核軌跡</x:v>
      </x:c>
      <x:c r="I492" s="37" t="str">
        <x:v>跨文件／跨系統比對；圖譜推理；差異與缺口生成；專門模型焦點：用任務集比較完成率、成本與安全性</x:v>
      </x:c>
      <x:c r="J492" s="37" t="str">
        <x:v>以人機協作模式先產生草案與證據包，接受修改後執行核准步驟並建立完整稽核軌跡</x:v>
      </x:c>
      <x:c r="K492" s="37" t="str">
        <x:v>L4 有護欄自主執行</x:v>
      </x:c>
      <x:c r="L492" s="37" t="str">
        <x:v>API 規格、MCP/Skill 定義、憑證、呼叫軌跡、Schema、SLA 與費用</x:v>
      </x:c>
      <x:c r="M492" s="37" t="str">
        <x:v>API Gateway、ESB、IAM、ERP、MES、CRM、MCP Server、Agent OS</x:v>
      </x:c>
      <x:c r="N492" s="37" t="str">
        <x:v>企業要把既有系統安全轉成 AI Agent 可使用的工具與 Skill，並集中治理。Demo：匯入一組去識別資料，觸發「用任務集比較完成率、成本與安全性」，由系統提出證據、建議與下一步；使用者核准後回寫任務，最後呈現「建立上架門檻」前後差異。</x:v>
      </x:c>
      <x:c r="O492" s="37" t="str">
        <x:v>低</x:v>
      </x:c>
      <x:c r="P492" s="37" t="str">
        <x:v>鄰近既有能力：原有系統整合多為固定 API；本群聚焦 Agent 可發現、可授權、可測試的能力層。本 App 的獨立邊界是「用任務集比較完成率、成本與安全性」，主要產出為「建立上架門檻」，不是一般登錄、查詢或看板。</x:v>
      </x:c>
      <x:c r="Q492" s="38" t="n">
        <x:v>5</x:v>
      </x:c>
      <x:c r="R492" s="38" t="n">
        <x:v>4</x:v>
      </x:c>
      <x:c r="S492" s="38" t="str">
        <x:v>P0</x:v>
      </x:c>
      <x:c r="T492" s="38" t="n">
        <x:v>8</x:v>
      </x:c>
      <x:c r="U492" s="39" t="str">
        <x:v>Wave 1 平台底座／旗艦</x:v>
      </x:c>
    </x:row>
    <x:row r="493" ht="86" customHeight="1">
      <x:c r="A493" s="36" t="str">
        <x:v>JV-489</x:v>
      </x:c>
      <x:c r="B493" s="37" t="str">
        <x:v>Skill 版本與發布中心</x:v>
      </x:c>
      <x:c r="C493" s="37" t="str">
        <x:v>MCP／Skills／API</x:v>
      </x:c>
      <x:c r="D493" s="37" t="str">
        <x:v>Skill 工程</x:v>
      </x:c>
      <x:c r="E493" s="37" t="str">
        <x:v>資訊、平台工程、數位轉型</x:v>
      </x:c>
      <x:c r="F493" s="37" t="str">
        <x:v>平台架構師、整合工程師、AI 應用開發者</x:v>
      </x:c>
      <x:c r="G493" s="37" t="str">
        <x:v>現行作法對「管理語意版本、灰度、回滾與通知」多靠人工彙整、個人經驗或事後處理，難以一致追蹤，造成決策延遲與重工。</x:v>
      </x:c>
      <x:c r="H493" s="37" t="str">
        <x:v>資料／事件接入；管理語意版本、灰度、回滾與通知；證據與信心呈現；例外分流與人工覆核；安全迭代成效追蹤；完整稽核軌跡</x:v>
      </x:c>
      <x:c r="I493" s="37" t="str">
        <x:v>異常偵測；因果線索分析；可解釋的建議排序；專門模型焦點：管理語意版本、灰度、回滾與通知</x:v>
      </x:c>
      <x:c r="J493" s="37" t="str">
        <x:v>依目標自主規劃步驟、呼叫核准工具、遇到例外改走人工佇列，完成後驗證結果並回報</x:v>
      </x:c>
      <x:c r="K493" s="37" t="str">
        <x:v>L3 可執行／關鍵核准</x:v>
      </x:c>
      <x:c r="L493" s="37" t="str">
        <x:v>API 規格、MCP/Skill 定義、憑證、呼叫軌跡、Schema、SLA 與費用</x:v>
      </x:c>
      <x:c r="M493" s="37" t="str">
        <x:v>API Gateway、ESB、IAM、ERP、MES、CRM、MCP Server、Agent OS</x:v>
      </x:c>
      <x:c r="N493" s="37" t="str">
        <x:v>企業要把既有系統安全轉成 AI Agent 可使用的工具與 Skill，並集中治理。Demo：匯入一組去識別資料，觸發「管理語意版本、灰度、回滾與通知」，由系統提出證據、建議與下一步；使用者核准後回寫任務，最後呈現「安全迭代」前後差異。</x:v>
      </x:c>
      <x:c r="O493" s="37" t="str">
        <x:v>低</x:v>
      </x:c>
      <x:c r="P493" s="37" t="str">
        <x:v>鄰近既有能力：原有系統整合多為固定 API；本群聚焦 Agent 可發現、可授權、可測試的能力層。本 App 的獨立邊界是「管理語意版本、灰度、回滾與通知」，主要產出為「安全迭代」，不是一般登錄、查詢或看板。</x:v>
      </x:c>
      <x:c r="Q493" s="38" t="n">
        <x:v>5</x:v>
      </x:c>
      <x:c r="R493" s="38" t="n">
        <x:v>4</x:v>
      </x:c>
      <x:c r="S493" s="38" t="str">
        <x:v>P1</x:v>
      </x:c>
      <x:c r="T493" s="38" t="n">
        <x:v>9</x:v>
      </x:c>
      <x:c r="U493" s="39" t="str">
        <x:v>Wave 2 高價值套件</x:v>
      </x:c>
    </x:row>
    <x:row r="494" ht="86" customHeight="1">
      <x:c r="A494" s="36" t="str">
        <x:v>JV-490</x:v>
      </x:c>
      <x:c r="B494" s="37" t="str">
        <x:v>Skill Marketplace</x:v>
      </x:c>
      <x:c r="C494" s="37" t="str">
        <x:v>MCP／Skills／API</x:v>
      </x:c>
      <x:c r="D494" s="37" t="str">
        <x:v>Skill 工程</x:v>
      </x:c>
      <x:c r="E494" s="37" t="str">
        <x:v>資訊、平台工程、數位轉型</x:v>
      </x:c>
      <x:c r="F494" s="37" t="str">
        <x:v>平台架構師、整合工程師、AI 應用開發者</x:v>
      </x:c>
      <x:c r="G494" s="37" t="str">
        <x:v>現行作法對「提供搜尋、授權、評價、安裝與計價」多靠人工彙整、個人經驗或事後處理，難以一致追蹤，造成決策延遲與重工。</x:v>
      </x:c>
      <x:c r="H494" s="37" t="str">
        <x:v>資料／事件接入；提供搜尋、授權、評價、安裝與計價；證據與信心呈現；例外分流與人工覆核；促進能力重用成效追蹤；完整稽核軌跡</x:v>
      </x:c>
      <x:c r="I494" s="37" t="str">
        <x:v>RAG 檢索與來源引用；規則＋模型混合判斷；矛盾檢查；專門模型焦點：提供搜尋、授權、評價、安裝與計價</x:v>
      </x:c>
      <x:c r="J494" s="37" t="str">
        <x:v>與多個專業 Agent 協作拆解任務，保留交接證據、逾時升級並在失敗時安全回滾</x:v>
      </x:c>
      <x:c r="K494" s="37" t="str">
        <x:v>L2 建議／需核准</x:v>
      </x:c>
      <x:c r="L494" s="37" t="str">
        <x:v>API 規格、MCP/Skill 定義、憑證、呼叫軌跡、Schema、SLA 與費用</x:v>
      </x:c>
      <x:c r="M494" s="37" t="str">
        <x:v>API Gateway、ESB、IAM、ERP、MES、CRM、MCP Server、Agent OS</x:v>
      </x:c>
      <x:c r="N494" s="37" t="str">
        <x:v>企業要把既有系統安全轉成 AI Agent 可使用的工具與 Skill，並集中治理。Demo：匯入一組去識別資料，觸發「提供搜尋、授權、評價、安裝與計價」，由系統提出證據、建議與下一步；使用者核准後回寫任務，最後呈現「促進能力重用」前後差異。</x:v>
      </x:c>
      <x:c r="O494" s="37" t="str">
        <x:v>中低</x:v>
      </x:c>
      <x:c r="P494" s="37" t="str">
        <x:v>鄰近既有能力：原有系統整合多為固定 API；本群聚焦 Agent 可發現、可授權、可測試的能力層。本 App 的獨立邊界是「提供搜尋、授權、評價、安裝與計價」，主要產出為「促進能力重用」，不是一般登錄、查詢或看板。</x:v>
      </x:c>
      <x:c r="Q494" s="38" t="n">
        <x:v>4</x:v>
      </x:c>
      <x:c r="R494" s="38" t="n">
        <x:v>5</x:v>
      </x:c>
      <x:c r="S494" s="38" t="str">
        <x:v>P0</x:v>
      </x:c>
      <x:c r="T494" s="38" t="n">
        <x:v>10</x:v>
      </x:c>
      <x:c r="U494" s="39" t="str">
        <x:v>Wave 1 平台底座／旗艦</x:v>
      </x:c>
    </x:row>
    <x:row r="495" ht="86" customHeight="1">
      <x:c r="A495" s="36" t="str">
        <x:v>JV-491</x:v>
      </x:c>
      <x:c r="B495" s="37" t="str">
        <x:v>Legacy API 自動包裝器</x:v>
      </x:c>
      <x:c r="C495" s="37" t="str">
        <x:v>MCP／Skills／API</x:v>
      </x:c>
      <x:c r="D495" s="37" t="str">
        <x:v>API 智慧化</x:v>
      </x:c>
      <x:c r="E495" s="37" t="str">
        <x:v>資訊、平台工程、數位轉型</x:v>
      </x:c>
      <x:c r="F495" s="37" t="str">
        <x:v>平台架構師、整合工程師、AI 應用開發者</x:v>
      </x:c>
      <x:c r="G495" s="37" t="str">
        <x:v>現行作法對「從文件與流量建立 Agent 友善工具介面」多靠人工彙整、個人經驗或事後處理，難以一致追蹤，造成決策延遲與重工。</x:v>
      </x:c>
      <x:c r="H495" s="37" t="str">
        <x:v>資料／事件接入；從文件與流量建立 Agent 友善工具介面；證據與信心呈現；例外分流與人工覆核；快速開放舊系統成效追蹤；完整稽核軌跡</x:v>
      </x:c>
      <x:c r="I495" s="37" t="str">
        <x:v>語意分類與實體抽取；風險／信心評分；具證據的生成與摘要；專門模型焦點：從文件與流量建立 Agent 友善工具介面</x:v>
      </x:c>
      <x:c r="J495" s="37" t="str">
        <x:v>持續監測事件，達門檻後建立案件、蒐集證據、指派責任並追蹤結案；高風險動作需人工核准</x:v>
      </x:c>
      <x:c r="K495" s="37" t="str">
        <x:v>L3 可執行／關鍵核准</x:v>
      </x:c>
      <x:c r="L495" s="37" t="str">
        <x:v>API 規格、MCP/Skill 定義、憑證、呼叫軌跡、Schema、SLA 與費用</x:v>
      </x:c>
      <x:c r="M495" s="37" t="str">
        <x:v>API Gateway、ESB、IAM、ERP、MES、CRM、MCP Server、Agent OS</x:v>
      </x:c>
      <x:c r="N495" s="37" t="str">
        <x:v>企業要把既有系統安全轉成 AI Agent 可使用的工具與 Skill，並集中治理。Demo：匯入一組去識別資料，觸發「從文件與流量建立 Agent 友善工具介面」，由系統提出證據、建議與下一步；使用者核准後回寫任務，最後呈現「快速開放舊系統」前後差異。</x:v>
      </x:c>
      <x:c r="O495" s="37" t="str">
        <x:v>中低</x:v>
      </x:c>
      <x:c r="P495" s="37" t="str">
        <x:v>鄰近既有能力：原有系統整合多為固定 API；本群聚焦 Agent 可發現、可授權、可測試的能力層。本 App 的獨立邊界是「從文件與流量建立 Agent 友善工具介面」，主要產出為「快速開放舊系統」，不是一般登錄、查詢或看板。</x:v>
      </x:c>
      <x:c r="Q495" s="38" t="n">
        <x:v>5</x:v>
      </x:c>
      <x:c r="R495" s="38" t="n">
        <x:v>3</x:v>
      </x:c>
      <x:c r="S495" s="38" t="str">
        <x:v>P0</x:v>
      </x:c>
      <x:c r="T495" s="38" t="n">
        <x:v>6</x:v>
      </x:c>
      <x:c r="U495" s="39" t="str">
        <x:v>Wave 1 平台底座／旗艦</x:v>
      </x:c>
    </x:row>
    <x:row r="496" ht="86" customHeight="1">
      <x:c r="A496" s="36" t="str">
        <x:v>JV-492</x:v>
      </x:c>
      <x:c r="B496" s="37" t="str">
        <x:v>API 語意描述生成器</x:v>
      </x:c>
      <x:c r="C496" s="37" t="str">
        <x:v>MCP／Skills／API</x:v>
      </x:c>
      <x:c r="D496" s="37" t="str">
        <x:v>API 智慧化</x:v>
      </x:c>
      <x:c r="E496" s="37" t="str">
        <x:v>資訊、平台工程、數位轉型</x:v>
      </x:c>
      <x:c r="F496" s="37" t="str">
        <x:v>平台架構師、整合工程師、AI 應用開發者</x:v>
      </x:c>
      <x:c r="G496" s="37" t="str">
        <x:v>現行作法對「補充工具用途、限制、範例與錯誤恢復」多靠人工彙整、個人經驗或事後處理，難以一致追蹤，造成決策延遲與重工。</x:v>
      </x:c>
      <x:c r="H496" s="37" t="str">
        <x:v>資料／事件接入；補充工具用途、限制、範例與錯誤恢復；證據與信心呈現；例外分流與人工覆核；提升 Agent 選工具能力成效追蹤；完整稽核軌跡</x:v>
      </x:c>
      <x:c r="I496" s="37" t="str">
        <x:v>預測與情境模擬；多目標最佳化；不確定性呈現；專門模型焦點：補充工具用途、限制、範例與錯誤恢復</x:v>
      </x:c>
      <x:c r="J496" s="37" t="str">
        <x:v>定期掃描資料與外部訊號，提出優先序與建議；經核准後同步任務與更新來源系統</x:v>
      </x:c>
      <x:c r="K496" s="37" t="str">
        <x:v>L4 有護欄自主執行</x:v>
      </x:c>
      <x:c r="L496" s="37" t="str">
        <x:v>API 規格、MCP/Skill 定義、憑證、呼叫軌跡、Schema、SLA 與費用</x:v>
      </x:c>
      <x:c r="M496" s="37" t="str">
        <x:v>API Gateway、ESB、IAM、ERP、MES、CRM、MCP Server、Agent OS</x:v>
      </x:c>
      <x:c r="N496" s="37" t="str">
        <x:v>企業要把既有系統安全轉成 AI Agent 可使用的工具與 Skill，並集中治理。Demo：匯入一組去識別資料，觸發「補充工具用途、限制、範例與錯誤恢復」，由系統提出證據、建議與下一步；使用者核准後回寫任務，最後呈現「提升 Agent 選工具能力」前後差異。</x:v>
      </x:c>
      <x:c r="O496" s="37" t="str">
        <x:v>低</x:v>
      </x:c>
      <x:c r="P496" s="37" t="str">
        <x:v>鄰近既有能力：原有系統整合多為固定 API；本群聚焦 Agent 可發現、可授權、可測試的能力層。本 App 的獨立邊界是「補充工具用途、限制、範例與錯誤恢復」，主要產出為「提升 Agent 選工具能力」，不是一般登錄、查詢或看板。</x:v>
      </x:c>
      <x:c r="Q496" s="38" t="n">
        <x:v>5</x:v>
      </x:c>
      <x:c r="R496" s="38" t="n">
        <x:v>4</x:v>
      </x:c>
      <x:c r="S496" s="38" t="str">
        <x:v>P0</x:v>
      </x:c>
      <x:c r="T496" s="38" t="n">
        <x:v>8</x:v>
      </x:c>
      <x:c r="U496" s="39" t="str">
        <x:v>Wave 1 平台底座／旗艦</x:v>
      </x:c>
    </x:row>
    <x:row r="497" ht="86" customHeight="1">
      <x:c r="A497" s="36" t="str">
        <x:v>JV-493</x:v>
      </x:c>
      <x:c r="B497" s="37" t="str">
        <x:v>API 參數風險驗證器</x:v>
      </x:c>
      <x:c r="C497" s="37" t="str">
        <x:v>MCP／Skills／API</x:v>
      </x:c>
      <x:c r="D497" s="37" t="str">
        <x:v>API 智慧化</x:v>
      </x:c>
      <x:c r="E497" s="37" t="str">
        <x:v>資訊、平台工程、數位轉型</x:v>
      </x:c>
      <x:c r="F497" s="37" t="str">
        <x:v>平台架構師、整合工程師、AI 應用開發者</x:v>
      </x:c>
      <x:c r="G497" s="37" t="str">
        <x:v>現行作法對「在執行前檢查範圍、金額、對象與副作用」多靠人工彙整、個人經驗或事後處理，難以一致追蹤，造成決策延遲與重工。</x:v>
      </x:c>
      <x:c r="H497" s="37" t="str">
        <x:v>資料／事件接入；在執行前檢查範圍、金額、對象與副作用；證據與信心呈現；例外分流與人工覆核；阻止危險呼叫成效追蹤；完整稽核軌跡</x:v>
      </x:c>
      <x:c r="I497" s="37" t="str">
        <x:v>跨文件／跨系統比對；圖譜推理；差異與缺口生成；專門模型焦點：在執行前檢查範圍、金額、對象與副作用</x:v>
      </x:c>
      <x:c r="J497" s="37" t="str">
        <x:v>以人機協作模式先產生草案與證據包，接受修改後執行核准步驟並建立完整稽核軌跡</x:v>
      </x:c>
      <x:c r="K497" s="37" t="str">
        <x:v>L4 有護欄自主執行</x:v>
      </x:c>
      <x:c r="L497" s="37" t="str">
        <x:v>API 規格、MCP/Skill 定義、憑證、呼叫軌跡、Schema、SLA 與費用</x:v>
      </x:c>
      <x:c r="M497" s="37" t="str">
        <x:v>API Gateway、ESB、IAM、ERP、MES、CRM、MCP Server、Agent OS</x:v>
      </x:c>
      <x:c r="N497" s="37" t="str">
        <x:v>企業要把既有系統安全轉成 AI Agent 可使用的工具與 Skill，並集中治理。Demo：匯入一組去識別資料，觸發「在執行前檢查範圍、金額、對象與副作用」，由系統提出證據、建議與下一步；使用者核准後回寫任務，最後呈現「阻止危險呼叫」前後差異。</x:v>
      </x:c>
      <x:c r="O497" s="37" t="str">
        <x:v>低</x:v>
      </x:c>
      <x:c r="P497" s="37" t="str">
        <x:v>鄰近既有能力：原有系統整合多為固定 API；本群聚焦 Agent 可發現、可授權、可測試的能力層。本 App 的獨立邊界是「在執行前檢查範圍、金額、對象與副作用」，主要產出為「阻止危險呼叫」，不是一般登錄、查詢或看板。</x:v>
      </x:c>
      <x:c r="Q497" s="38" t="n">
        <x:v>5</x:v>
      </x:c>
      <x:c r="R497" s="38" t="n">
        <x:v>4</x:v>
      </x:c>
      <x:c r="S497" s="38" t="str">
        <x:v>P0</x:v>
      </x:c>
      <x:c r="T497" s="38" t="n">
        <x:v>8</x:v>
      </x:c>
      <x:c r="U497" s="39" t="str">
        <x:v>Wave 1 平台底座／旗艦</x:v>
      </x:c>
    </x:row>
    <x:row r="498" ht="86" customHeight="1">
      <x:c r="A498" s="36" t="str">
        <x:v>JV-494</x:v>
      </x:c>
      <x:c r="B498" s="37" t="str">
        <x:v>API 合約漂移偵測器</x:v>
      </x:c>
      <x:c r="C498" s="37" t="str">
        <x:v>MCP／Skills／API</x:v>
      </x:c>
      <x:c r="D498" s="37" t="str">
        <x:v>API 智慧化</x:v>
      </x:c>
      <x:c r="E498" s="37" t="str">
        <x:v>資訊、平台工程、數位轉型</x:v>
      </x:c>
      <x:c r="F498" s="37" t="str">
        <x:v>平台架構師、整合工程師、AI 應用開發者</x:v>
      </x:c>
      <x:c r="G498" s="37" t="str">
        <x:v>現行作法對「比較實際流量與 OpenAPI/MCP Schema 差異」多靠人工彙整、個人經驗或事後處理，難以一致追蹤，造成決策延遲與重工。</x:v>
      </x:c>
      <x:c r="H498" s="37" t="str">
        <x:v>資料／事件接入；比較實際流量與 OpenAPI/MCP Schema 差異；證據與信心呈現；例外分流與人工覆核；維持契約真實成效追蹤；完整稽核軌跡</x:v>
      </x:c>
      <x:c r="I498" s="37" t="str">
        <x:v>異常偵測；因果線索分析；可解釋的建議排序；專門模型焦點：比較實際流量與 OpenAPI/MCP Schema 差異</x:v>
      </x:c>
      <x:c r="J498" s="37" t="str">
        <x:v>依目標自主規劃步驟、呼叫核准工具、遇到例外改走人工佇列，完成後驗證結果並回報</x:v>
      </x:c>
      <x:c r="K498" s="37" t="str">
        <x:v>L4 有護欄自主執行</x:v>
      </x:c>
      <x:c r="L498" s="37" t="str">
        <x:v>API 規格、MCP/Skill 定義、憑證、呼叫軌跡、Schema、SLA 與費用</x:v>
      </x:c>
      <x:c r="M498" s="37" t="str">
        <x:v>API Gateway、ESB、IAM、ERP、MES、CRM、MCP Server、Agent OS</x:v>
      </x:c>
      <x:c r="N498" s="37" t="str">
        <x:v>企業要把既有系統安全轉成 AI Agent 可使用的工具與 Skill，並集中治理。Demo：匯入一組去識別資料，觸發「比較實際流量與 OpenAPI/MCP Schema 差異」，由系統提出證據、建議與下一步；使用者核准後回寫任務，最後呈現「維持契約真實」前後差異。</x:v>
      </x:c>
      <x:c r="O498" s="37" t="str">
        <x:v>低</x:v>
      </x:c>
      <x:c r="P498" s="37" t="str">
        <x:v>鄰近既有能力：原有系統整合多為固定 API；本群聚焦 Agent 可發現、可授權、可測試的能力層。本 App 的獨立邊界是「比較實際流量與 OpenAPI/MCP Schema 差異」，主要產出為「維持契約真實」，不是一般登錄、查詢或看板。</x:v>
      </x:c>
      <x:c r="Q498" s="38" t="n">
        <x:v>5</x:v>
      </x:c>
      <x:c r="R498" s="38" t="n">
        <x:v>4</x:v>
      </x:c>
      <x:c r="S498" s="38" t="str">
        <x:v>P0</x:v>
      </x:c>
      <x:c r="T498" s="38" t="n">
        <x:v>8</x:v>
      </x:c>
      <x:c r="U498" s="39" t="str">
        <x:v>Wave 1 平台底座／旗艦</x:v>
      </x:c>
    </x:row>
    <x:row r="499" ht="86" customHeight="1">
      <x:c r="A499" s="36" t="str">
        <x:v>JV-495</x:v>
      </x:c>
      <x:c r="B499" s="37" t="str">
        <x:v>API 工具選擇基準台</x:v>
      </x:c>
      <x:c r="C499" s="37" t="str">
        <x:v>MCP／Skills／API</x:v>
      </x:c>
      <x:c r="D499" s="37" t="str">
        <x:v>API 智慧化</x:v>
      </x:c>
      <x:c r="E499" s="37" t="str">
        <x:v>資訊、平台工程、數位轉型</x:v>
      </x:c>
      <x:c r="F499" s="37" t="str">
        <x:v>平台架構師、整合工程師、AI 應用開發者</x:v>
      </x:c>
      <x:c r="G499" s="37" t="str">
        <x:v>現行作法對「用真實任務測試 Agent 是否選對 API 與參數」多靠人工彙整、個人經驗或事後處理，難以一致追蹤，造成決策延遲與重工。</x:v>
      </x:c>
      <x:c r="H499" s="37" t="str">
        <x:v>資料／事件接入；用真實任務測試 Agent 是否選對 API 與參數；證據與信心呈現；例外分流與人工覆核；改善工具使用成效追蹤；完整稽核軌跡</x:v>
      </x:c>
      <x:c r="I499" s="37" t="str">
        <x:v>RAG 檢索與來源引用；規則＋模型混合判斷；矛盾檢查；專門模型焦點：用真實任務測試 Agent 是否選對 API 與參數</x:v>
      </x:c>
      <x:c r="J499" s="37" t="str">
        <x:v>與多個專業 Agent 協作拆解任務，保留交接證據、逾時升級並在失敗時安全回滾</x:v>
      </x:c>
      <x:c r="K499" s="37" t="str">
        <x:v>L2 建議／需核准</x:v>
      </x:c>
      <x:c r="L499" s="37" t="str">
        <x:v>API 規格、MCP/Skill 定義、憑證、呼叫軌跡、Schema、SLA 與費用</x:v>
      </x:c>
      <x:c r="M499" s="37" t="str">
        <x:v>API Gateway、ESB、IAM、ERP、MES、CRM、MCP Server、Agent OS</x:v>
      </x:c>
      <x:c r="N499" s="37" t="str">
        <x:v>企業要把既有系統安全轉成 AI Agent 可使用的工具與 Skill，並集中治理。Demo：匯入一組去識別資料，觸發「用真實任務測試 Agent 是否選對 API 與參數」，由系統提出證據、建議與下一步；使用者核准後回寫任務，最後呈現「改善工具使用」前後差異。</x:v>
      </x:c>
      <x:c r="O499" s="37" t="str">
        <x:v>中低</x:v>
      </x:c>
      <x:c r="P499" s="37" t="str">
        <x:v>鄰近既有能力：原有系統整合多為固定 API；本群聚焦 Agent 可發現、可授權、可測試的能力層。本 App 的獨立邊界是「用真實任務測試 Agent 是否選對 API 與參數」，主要產出為「改善工具使用」，不是一般登錄、查詢或看板。</x:v>
      </x:c>
      <x:c r="Q499" s="38" t="n">
        <x:v>5</x:v>
      </x:c>
      <x:c r="R499" s="38" t="n">
        <x:v>5</x:v>
      </x:c>
      <x:c r="S499" s="38" t="str">
        <x:v>P0</x:v>
      </x:c>
      <x:c r="T499" s="38" t="n">
        <x:v>10</x:v>
      </x:c>
      <x:c r="U499" s="39" t="str">
        <x:v>Wave 1 平台底座／旗艦</x:v>
      </x:c>
    </x:row>
    <x:row r="500" ht="86" customHeight="1">
      <x:c r="A500" s="36" t="str">
        <x:v>JV-496</x:v>
      </x:c>
      <x:c r="B500" s="37" t="str">
        <x:v>跨系統交易補償協調器</x:v>
      </x:c>
      <x:c r="C500" s="37" t="str">
        <x:v>MCP／Skills／API</x:v>
      </x:c>
      <x:c r="D500" s="37" t="str">
        <x:v>整合營運</x:v>
      </x:c>
      <x:c r="E500" s="37" t="str">
        <x:v>資訊、平台工程、數位轉型</x:v>
      </x:c>
      <x:c r="F500" s="37" t="str">
        <x:v>平台架構師、整合工程師、AI 應用開發者</x:v>
      </x:c>
      <x:c r="G500" s="37" t="str">
        <x:v>現行作法對「多步寫入失敗時執行可追蹤補償」多靠人工彙整、個人經驗或事後處理，難以一致追蹤，造成決策延遲與重工。</x:v>
      </x:c>
      <x:c r="H500" s="37" t="str">
        <x:v>資料／事件接入；多步寫入失敗時執行可追蹤補償；證據與信心呈現；例外分流與人工覆核；維持一致性成效追蹤；完整稽核軌跡</x:v>
      </x:c>
      <x:c r="I500" s="37" t="str">
        <x:v>語意分類與實體抽取；風險／信心評分；具證據的生成與摘要；專門模型焦點：多步寫入失敗時執行可追蹤補償</x:v>
      </x:c>
      <x:c r="J500" s="37" t="str">
        <x:v>持續監測事件，達門檻後建立案件、蒐集證據、指派責任並追蹤結案；高風險動作需人工核准</x:v>
      </x:c>
      <x:c r="K500" s="37" t="str">
        <x:v>L3 可執行／關鍵核准</x:v>
      </x:c>
      <x:c r="L500" s="37" t="str">
        <x:v>API 規格、MCP/Skill 定義、憑證、呼叫軌跡、Schema、SLA 與費用</x:v>
      </x:c>
      <x:c r="M500" s="37" t="str">
        <x:v>API Gateway、ESB、IAM、ERP、MES、CRM、MCP Server、Agent OS</x:v>
      </x:c>
      <x:c r="N500" s="37" t="str">
        <x:v>企業要把既有系統安全轉成 AI Agent 可使用的工具與 Skill，並集中治理。Demo：匯入一組去識別資料，觸發「多步寫入失敗時執行可追蹤補償」，由系統提出證據、建議與下一步；使用者核准後回寫任務，最後呈現「維持一致性」前後差異。</x:v>
      </x:c>
      <x:c r="O500" s="37" t="str">
        <x:v>中低</x:v>
      </x:c>
      <x:c r="P500" s="37" t="str">
        <x:v>鄰近既有能力：原有系統整合多為固定 API；本群聚焦 Agent 可發現、可授權、可測試的能力層。本 App 的獨立邊界是「多步寫入失敗時執行可追蹤補償」，主要產出為「維持一致性」，不是一般登錄、查詢或看板。</x:v>
      </x:c>
      <x:c r="Q500" s="38" t="n">
        <x:v>5</x:v>
      </x:c>
      <x:c r="R500" s="38" t="n">
        <x:v>3</x:v>
      </x:c>
      <x:c r="S500" s="38" t="str">
        <x:v>P0</x:v>
      </x:c>
      <x:c r="T500" s="38" t="n">
        <x:v>6</x:v>
      </x:c>
      <x:c r="U500" s="39" t="str">
        <x:v>Wave 1 平台底座／旗艦</x:v>
      </x:c>
    </x:row>
    <x:row r="501" ht="86" customHeight="1">
      <x:c r="A501" s="36" t="str">
        <x:v>JV-497</x:v>
      </x:c>
      <x:c r="B501" s="37" t="str">
        <x:v>Agent API 配額仲裁器</x:v>
      </x:c>
      <x:c r="C501" s="37" t="str">
        <x:v>MCP／Skills／API</x:v>
      </x:c>
      <x:c r="D501" s="37" t="str">
        <x:v>整合營運</x:v>
      </x:c>
      <x:c r="E501" s="37" t="str">
        <x:v>資訊、平台工程、數位轉型</x:v>
      </x:c>
      <x:c r="F501" s="37" t="str">
        <x:v>平台架構師、整合工程師、AI 應用開發者</x:v>
      </x:c>
      <x:c r="G501" s="37" t="str">
        <x:v>現行作法對「依部門、優先級與 SLA 動態分配配額」多靠人工彙整、個人經驗或事後處理，難以一致追蹤，造成決策延遲與重工。</x:v>
      </x:c>
      <x:c r="H501" s="37" t="str">
        <x:v>資料／事件接入；依部門、優先級與 SLA 動態分配配額；證據與信心呈現；例外分流與人工覆核；避免資源爭用成效追蹤；完整稽核軌跡</x:v>
      </x:c>
      <x:c r="I501" s="37" t="str">
        <x:v>預測與情境模擬；多目標最佳化；不確定性呈現；專門模型焦點：依部門、優先級與 SLA 動態分配配額</x:v>
      </x:c>
      <x:c r="J501" s="37" t="str">
        <x:v>定期掃描資料與外部訊號，提出優先序與建議；經核准後同步任務與更新來源系統</x:v>
      </x:c>
      <x:c r="K501" s="37" t="str">
        <x:v>L3 可執行／關鍵核准</x:v>
      </x:c>
      <x:c r="L501" s="37" t="str">
        <x:v>API 規格、MCP/Skill 定義、憑證、呼叫軌跡、Schema、SLA 與費用</x:v>
      </x:c>
      <x:c r="M501" s="37" t="str">
        <x:v>API Gateway、ESB、IAM、ERP、MES、CRM、MCP Server、Agent OS</x:v>
      </x:c>
      <x:c r="N501" s="37" t="str">
        <x:v>企業要把既有系統安全轉成 AI Agent 可使用的工具與 Skill，並集中治理。Demo：匯入一組去識別資料，觸發「依部門、優先級與 SLA 動態分配配額」，由系統提出證據、建議與下一步；使用者核准後回寫任務，最後呈現「避免資源爭用」前後差異。</x:v>
      </x:c>
      <x:c r="O501" s="37" t="str">
        <x:v>低</x:v>
      </x:c>
      <x:c r="P501" s="37" t="str">
        <x:v>鄰近既有能力：原有系統整合多為固定 API；本群聚焦 Agent 可發現、可授權、可測試的能力層。本 App 的獨立邊界是「依部門、優先級與 SLA 動態分配配額」，主要產出為「避免資源爭用」，不是一般登錄、查詢或看板。</x:v>
      </x:c>
      <x:c r="Q501" s="38" t="n">
        <x:v>5</x:v>
      </x:c>
      <x:c r="R501" s="38" t="n">
        <x:v>4</x:v>
      </x:c>
      <x:c r="S501" s="38" t="str">
        <x:v>P1</x:v>
      </x:c>
      <x:c r="T501" s="38" t="n">
        <x:v>9</x:v>
      </x:c>
      <x:c r="U501" s="39" t="str">
        <x:v>Wave 2 高價值套件</x:v>
      </x:c>
    </x:row>
    <x:row r="502" ht="86" customHeight="1">
      <x:c r="A502" s="36" t="str">
        <x:v>JV-498</x:v>
      </x:c>
      <x:c r="B502" s="37" t="str">
        <x:v>整合憑證輪替 Agent</x:v>
      </x:c>
      <x:c r="C502" s="37" t="str">
        <x:v>MCP／Skills／API</x:v>
      </x:c>
      <x:c r="D502" s="37" t="str">
        <x:v>整合營運</x:v>
      </x:c>
      <x:c r="E502" s="37" t="str">
        <x:v>資訊、平台工程、數位轉型</x:v>
      </x:c>
      <x:c r="F502" s="37" t="str">
        <x:v>平台架構師、整合工程師、AI 應用開發者</x:v>
      </x:c>
      <x:c r="G502" s="37" t="str">
        <x:v>現行作法對「協調金鑰更換、驗證與舊憑證撤銷」多靠人工彙整、個人經驗或事後處理，難以一致追蹤，造成決策延遲與重工。</x:v>
      </x:c>
      <x:c r="H502" s="37" t="str">
        <x:v>資料／事件接入；協調金鑰更換、驗證與舊憑證撤銷；證據與信心呈現；例外分流與人工覆核；降低中斷成效追蹤；完整稽核軌跡</x:v>
      </x:c>
      <x:c r="I502" s="37" t="str">
        <x:v>跨文件／跨系統比對；圖譜推理；差異與缺口生成；專門模型焦點：協調金鑰更換、驗證與舊憑證撤銷</x:v>
      </x:c>
      <x:c r="J502" s="37" t="str">
        <x:v>以人機協作模式先產生草案與證據包，接受修改後執行核准步驟並建立完整稽核軌跡</x:v>
      </x:c>
      <x:c r="K502" s="37" t="str">
        <x:v>L4 有護欄自主執行</x:v>
      </x:c>
      <x:c r="L502" s="37" t="str">
        <x:v>API 規格、MCP/Skill 定義、憑證、呼叫軌跡、Schema、SLA 與費用</x:v>
      </x:c>
      <x:c r="M502" s="37" t="str">
        <x:v>API Gateway、ESB、IAM、ERP、MES、CRM、MCP Server、Agent OS</x:v>
      </x:c>
      <x:c r="N502" s="37" t="str">
        <x:v>企業要把既有系統安全轉成 AI Agent 可使用的工具與 Skill，並集中治理。Demo：匯入一組去識別資料，觸發「協調金鑰更換、驗證與舊憑證撤銷」，由系統提出證據、建議與下一步；使用者核准後回寫任務，最後呈現「降低中斷」前後差異。</x:v>
      </x:c>
      <x:c r="O502" s="37" t="str">
        <x:v>低</x:v>
      </x:c>
      <x:c r="P502" s="37" t="str">
        <x:v>鄰近既有能力：原有系統整合多為固定 API；本群聚焦 Agent 可發現、可授權、可測試的能力層。本 App 的獨立邊界是「協調金鑰更換、驗證與舊憑證撤銷」，主要產出為「降低中斷」，不是一般登錄、查詢或看板。</x:v>
      </x:c>
      <x:c r="Q502" s="38" t="n">
        <x:v>5</x:v>
      </x:c>
      <x:c r="R502" s="38" t="n">
        <x:v>4</x:v>
      </x:c>
      <x:c r="S502" s="38" t="str">
        <x:v>P0</x:v>
      </x:c>
      <x:c r="T502" s="38" t="n">
        <x:v>8</x:v>
      </x:c>
      <x:c r="U502" s="39" t="str">
        <x:v>Wave 1 平台底座／旗艦</x:v>
      </x:c>
    </x:row>
    <x:row r="503" ht="86" customHeight="1">
      <x:c r="A503" s="36" t="str">
        <x:v>JV-499</x:v>
      </x:c>
      <x:c r="B503" s="37" t="str">
        <x:v>API 成本與價值分攤中心</x:v>
      </x:c>
      <x:c r="C503" s="37" t="str">
        <x:v>MCP／Skills／API</x:v>
      </x:c>
      <x:c r="D503" s="37" t="str">
        <x:v>整合營運</x:v>
      </x:c>
      <x:c r="E503" s="37" t="str">
        <x:v>資訊、平台工程、數位轉型</x:v>
      </x:c>
      <x:c r="F503" s="37" t="str">
        <x:v>平台架構師、整合工程師、AI 應用開發者</x:v>
      </x:c>
      <x:c r="G503" s="37" t="str">
        <x:v>現行作法對「按任務、部門與成果分攤內外部 API 成本」多靠人工彙整、個人經驗或事後處理，難以一致追蹤，造成決策延遲與重工。</x:v>
      </x:c>
      <x:c r="H503" s="37" t="str">
        <x:v>資料／事件接入；按任務、部門與成果分攤內外部 API 成本；證據與信心呈現；例外分流與人工覆核；透明計價成效追蹤；完整稽核軌跡</x:v>
      </x:c>
      <x:c r="I503" s="37" t="str">
        <x:v>異常偵測；因果線索分析；可解釋的建議排序；專門模型焦點：按任務、部門與成果分攤內外部 API 成本</x:v>
      </x:c>
      <x:c r="J503" s="37" t="str">
        <x:v>依目標自主規劃步驟、呼叫核准工具、遇到例外改走人工佇列，完成後驗證結果並回報</x:v>
      </x:c>
      <x:c r="K503" s="37" t="str">
        <x:v>L4 有護欄自主執行</x:v>
      </x:c>
      <x:c r="L503" s="37" t="str">
        <x:v>API 規格、MCP/Skill 定義、憑證、呼叫軌跡、Schema、SLA 與費用</x:v>
      </x:c>
      <x:c r="M503" s="37" t="str">
        <x:v>API Gateway、ESB、IAM、ERP、MES、CRM、MCP Server、Agent OS</x:v>
      </x:c>
      <x:c r="N503" s="37" t="str">
        <x:v>企業要把既有系統安全轉成 AI Agent 可使用的工具與 Skill，並集中治理。Demo：匯入一組去識別資料，觸發「按任務、部門與成果分攤內外部 API 成本」，由系統提出證據、建議與下一步；使用者核准後回寫任務，最後呈現「透明計價」前後差異。</x:v>
      </x:c>
      <x:c r="O503" s="37" t="str">
        <x:v>低</x:v>
      </x:c>
      <x:c r="P503" s="37" t="str">
        <x:v>鄰近既有能力：原有系統整合多為固定 API；本群聚焦 Agent 可發現、可授權、可測試的能力層。本 App 的獨立邊界是「按任務、部門與成果分攤內外部 API 成本」，主要產出為「透明計價」，不是一般登錄、查詢或看板。</x:v>
      </x:c>
      <x:c r="Q503" s="38" t="n">
        <x:v>5</x:v>
      </x:c>
      <x:c r="R503" s="38" t="n">
        <x:v>4</x:v>
      </x:c>
      <x:c r="S503" s="38" t="str">
        <x:v>P0</x:v>
      </x:c>
      <x:c r="T503" s="38" t="n">
        <x:v>8</x:v>
      </x:c>
      <x:c r="U503" s="39" t="str">
        <x:v>Wave 1 平台底座／旗艦</x:v>
      </x:c>
    </x:row>
    <x:row r="504" ht="86" customHeight="1">
      <x:c r="A504" s="36" t="str">
        <x:v>JV-500</x:v>
      </x:c>
      <x:c r="B504" s="37" t="str">
        <x:v>整合故障根因導航器</x:v>
      </x:c>
      <x:c r="C504" s="37" t="str">
        <x:v>MCP／Skills／API</x:v>
      </x:c>
      <x:c r="D504" s="37" t="str">
        <x:v>整合營運</x:v>
      </x:c>
      <x:c r="E504" s="37" t="str">
        <x:v>資訊、平台工程、數位轉型</x:v>
      </x:c>
      <x:c r="F504" s="37" t="str">
        <x:v>平台架構師、整合工程師、AI 應用開發者</x:v>
      </x:c>
      <x:c r="G504" s="37" t="str">
        <x:v>現行作法對「串聯 Agent、Gateway、API 與後端事件」多靠人工彙整、個人經驗或事後處理，難以一致追蹤，造成決策延遲與重工。</x:v>
      </x:c>
      <x:c r="H504" s="37" t="str">
        <x:v>資料／事件接入；串聯 Agent、Gateway、API 與後端事件；證據與信心呈現；例外分流與人工覆核；快速定位斷點成效追蹤；完整稽核軌跡</x:v>
      </x:c>
      <x:c r="I504" s="37" t="str">
        <x:v>RAG 檢索與來源引用；規則＋模型混合判斷；矛盾檢查；專門模型焦點：串聯 Agent、Gateway、API 與後端事件</x:v>
      </x:c>
      <x:c r="J504" s="37" t="str">
        <x:v>與多個專業 Agent 協作拆解任務，保留交接證據、逾時升級並在失敗時安全回滾</x:v>
      </x:c>
      <x:c r="K504" s="37" t="str">
        <x:v>L2 建議／需核准</x:v>
      </x:c>
      <x:c r="L504" s="37" t="str">
        <x:v>API 規格、MCP/Skill 定義、憑證、呼叫軌跡、Schema、SLA 與費用</x:v>
      </x:c>
      <x:c r="M504" s="37" t="str">
        <x:v>API Gateway、ESB、IAM、ERP、MES、CRM、MCP Server、Agent OS</x:v>
      </x:c>
      <x:c r="N504" s="37" t="str">
        <x:v>企業要把既有系統安全轉成 AI Agent 可使用的工具與 Skill，並集中治理。Demo：匯入一組去識別資料，觸發「串聯 Agent、Gateway、API 與後端事件」，由系統提出證據、建議與下一步；使用者核准後回寫任務，最後呈現「快速定位斷點」前後差異。</x:v>
      </x:c>
      <x:c r="O504" s="37" t="str">
        <x:v>中低</x:v>
      </x:c>
      <x:c r="P504" s="37" t="str">
        <x:v>鄰近既有能力：原有系統整合多為固定 API；本群聚焦 Agent 可發現、可授權、可測試的能力層。本 App 的獨立邊界是「串聯 Agent、Gateway、API 與後端事件」，主要產出為「快速定位斷點」，不是一般登錄、查詢或看板。</x:v>
      </x:c>
      <x:c r="Q504" s="38" t="n">
        <x:v>5</x:v>
      </x:c>
      <x:c r="R504" s="38" t="n">
        <x:v>5</x:v>
      </x:c>
      <x:c r="S504" s="38" t="str">
        <x:v>P1</x:v>
      </x:c>
      <x:c r="T504" s="38" t="n">
        <x:v>11</x:v>
      </x:c>
      <x:c r="U504" s="39" t="str">
        <x:v>Wave 2 高價值套件</x:v>
      </x:c>
    </x:row>
  </x:sheetData>
  <x:mergeCells>
    <x:mergeCell ref="A1:U1"/>
    <x:mergeCell ref="A2:U2"/>
    <x:mergeCell ref="A3:U3"/>
  </x:mergeCells>
  <x:conditionalFormatting sqref="Q5:Q504">
    <x:cfRule type="colorScale" priority="1">
      <x:colorScale>
        <x:cfvo type="min"/>
        <x:cfvo type="percentile" val="50"/>
        <x:cfvo type="max"/>
        <x:color rgb="FFFADBD8"/>
        <x:color rgb="FFFCF3CF"/>
        <x:color rgb="FFD5F5E3"/>
      </x:colorScale>
    </x:cfRule>
  </x:conditionalFormatting>
  <x:conditionalFormatting sqref="R5:R504">
    <x:cfRule type="colorScale" priority="2">
      <x:colorScale>
        <x:cfvo type="min"/>
        <x:cfvo type="percentile" val="50"/>
        <x:cfvo type="max"/>
        <x:color rgb="FFD5F5E3"/>
        <x:color rgb="FFFCF3CF"/>
        <x:color rgb="FFFADBD8"/>
      </x:colorScale>
    </x:cfRule>
  </x:conditionalFormatting>
  <x:conditionalFormatting sqref="S5:S504">
    <x:cfRule type="containsText" dxfId="0" priority="3" operator="containsText" text="P0"/>
    <x:cfRule type="containsText" dxfId="1" priority="4" operator="containsText" text="P1"/>
    <x:cfRule type="containsText" dxfId="2" priority="5" operator="containsText" text="P2"/>
  </x:conditionalFormatting>
  <x:conditionalFormatting sqref="O5:O504">
    <x:cfRule type="containsText" dxfId="3" priority="6" operator="containsText" text="中"/>
  </x:conditionalFormatting>
  <x:dataValidations count="5">
    <x:dataValidation type="list" sqref="K5:K504">
      <x:formula1>"L1 僅提示,L2 建議／需核准,L3 可執行／關鍵核准,L4 有護欄自主執行"</x:formula1>
    </x:dataValidation>
    <x:dataValidation type="list" sqref="O5:O504">
      <x:formula1>"低,中低,中,高"</x:formula1>
    </x:dataValidation>
    <x:dataValidation type="whole" operator="between" sqref="Q5:R504">
      <x:formula1>1</x:formula1>
      <x:formula2>5</x:formula2>
    </x:dataValidation>
    <x:dataValidation type="list" sqref="S5:S504">
      <x:formula1>"P0,P1,P2,P3"</x:formula1>
    </x:dataValidation>
    <x:dataValidation type="list" sqref="U5:U504">
      <x:formula1>"Wave 1 平台底座／旗艦,Wave 2 高價值套件,Wave 3 垂直擴充"</x:formula1>
    </x:dataValidation>
  </x:dataValidations>
  <x:pageMargins left="0.7" right="0.7" top="0.75" bottom="0.75" header="0.3" footer="0.3"/>
  <x:legacyDrawing xmlns:r="http://schemas.openxmlformats.org/officeDocument/2006/relationships" r:id="R0e33ff8434804ad2"/>
  <x:tableParts count="1">
    <x:tablePart xmlns:r="http://schemas.openxmlformats.org/officeDocument/2006/relationships" r:id="R9d1e880f45e14e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" t="str">
        <x:v>JVision 500 Apps｜去重與批次開發準則</x:v>
      </x:c>
    </x:row>
    <x:row r="3">
      <x:c r="A3" s="79" t="str">
        <x:v>一、功能本質去重判準</x:v>
      </x:c>
    </x:row>
    <x:row r="4" ht="24" customHeight="1">
      <x:c r="A4" s="84" t="str">
        <x:v>每個 App 必須同時有可辨識的：①主要痛點 ②主要使用者 ③必要企業資料 ④核心決策或產出 ⑤Agent 可執行的閉環 ⑥獨立 Demo。若只有名稱、畫面或使用部門不同，應合併而非保留。
風險「低」：與原 463 的傳統登錄／看板／流程系統有明顯能力差異；「中低」：存在鄰近模組，但核心決策或 Agent 閉環不同；「中」：很可能有鄰近功能，需取得原清單逐項驗證。</x:v>
      </x:c>
    </x:row>
    <x:row r="5" ht="24" customHeight="1"/>
    <x:row r="6" ht="24" customHeight="1"/>
    <x:row r="7" ht="24" customHeight="1"/>
    <x:row r="8" ht="24" customHeight="1"/>
    <x:row r="10">
      <x:c r="A10" s="79" t="str">
        <x:v>二、建議產品架構</x:v>
      </x:c>
    </x:row>
    <x:row r="11" ht="24" customHeight="1">
      <x:c r="A11" s="84" t="str">
        <x:v>共用底座：企業 LLM Gateway、Agent 身分與權限、MCP Hub、資料匿名化、稽核證據、成本計量、評測與可觀測性。
產品套件：依產品群提供資料模型、規則、Prompt／Skill、工作流程、Demo 資料與角色介面。
客製層：企業連接器、權限映射、術語、政策、KPI 與核准節點。</x:v>
      </x:c>
    </x:row>
    <x:row r="12" ht="24" customHeight="1"/>
    <x:row r="13" ht="24" customHeight="1"/>
    <x:row r="14" ht="24" customHeight="1"/>
    <x:row r="15" ht="24" customHeight="1"/>
    <x:row r="17">
      <x:c r="A17" s="79" t="str">
        <x:v>三、優先級定義</x:v>
      </x:c>
    </x:row>
    <x:row r="18" ht="24" customHeight="1">
      <x:c r="A18" s="84" t="str">
        <x:v>P0：可形成平台壁壘，或能被多個 App 重用；先做。
P1：商業價值高、Demo 說服力強，且可在共用底座上快速商品化。
P2：垂直場景明確，需特定資料、硬體或法規知識；在平台成熟後擴充。
P3：需求待驗證或高度客製；先保留概念。</x:v>
      </x:c>
    </x:row>
    <x:row r="19" ht="24" customHeight="1"/>
    <x:row r="20" ht="24" customHeight="1"/>
    <x:row r="21" ht="24" customHeight="1"/>
    <x:row r="22" ht="24" customHeight="1"/>
    <x:row r="24">
      <x:c r="A24" s="84" t="str">
        <x:v>四、批次開發 Definition of Done</x:v>
      </x:c>
    </x:row>
    <x:row r="25" ht="24" customHeight="1">
      <x:c r="A25" s="84" t="str">
        <x:v>每個 App 上線前至少具備：
• 1 組可重播的去識別 Demo 資料與 3 個情境（正常／例外／高風險）
• 5–8 項核心功能、明確輸入輸出契約、角色與權限
• AI 評測集、信心與來源呈現、失敗／拒答策略
• Agent 核准點、冪等／回滾、完整工具呼叫稽核
• 至少 1 個真實或模擬企業系統連接器
• 商業價值 KPI、SLA、成本上限與產品擁有者</x:v>
      </x:c>
    </x:row>
    <x:row r="26" ht="24" customHeight="1"/>
    <x:row r="27" ht="24" customHeight="1"/>
    <x:row r="28" ht="24" customHeight="1"/>
    <x:row r="29" ht="24" customHeight="1"/>
    <x:row r="30" ht="24" customHeight="1"/>
    <x:row r="31" ht="24" customHeight="1"/>
    <x:row r="33">
      <x:c r="A33" s="79" t="str">
        <x:v>五、來源與限制</x:v>
      </x:c>
    </x:row>
    <x:row r="34" ht="24" customHeight="1">
      <x:c r="A34" s="84" t="str">
        <x:v>依據：參照對話「分析企業可用App」及其中對 JVision-DEMO-分類盤點.pdf 的摘要（463 展示系統、28 類、146 功能模組、23 原型；224 個標示具 AI Agent、僅 2 個真實後端）。PDF 原檔未能從參照對話帶入本工作區，因此本活頁簿不宣稱已對 463 個名稱逐字比對。建議取得原始清單後執行第二階段重複審查。</x:v>
      </x:c>
    </x:row>
    <x:row r="35" ht="24" customHeight="1"/>
    <x:row r="36" ht="24" customHeight="1"/>
    <x:row r="37" ht="24" customHeight="1"/>
    <x:row r="38" ht="24" customHeight="1"/>
  </x:sheetData>
  <x:mergeCells>
    <x:mergeCell ref="A1:H1"/>
    <x:mergeCell ref="A3:H3"/>
    <x:mergeCell ref="A4:H8"/>
    <x:mergeCell ref="A10:H10"/>
    <x:mergeCell ref="A11:H15"/>
    <x:mergeCell ref="A17:H17"/>
    <x:mergeCell ref="A18:H22"/>
    <x:mergeCell ref="A24:H24"/>
    <x:mergeCell ref="A25:H31"/>
    <x:mergeCell ref="A33:H33"/>
    <x:mergeCell ref="A34:H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9" t="str">
        <x:v>參數與統計來源</x:v>
      </x:c>
      <x:c r="B1" s="50"/>
      <x:c r="C1" s="50"/>
      <x:c r="D1" s="50"/>
      <x:c r="E1" s="50"/>
      <x:c r="F1" s="50"/>
      <x:c r="G1" s="50"/>
      <x:c r="H1" s="50"/>
    </x:row>
    <x:row r="3">
      <x:c r="A3" s="42" t="str">
        <x:v>產品群／分類</x:v>
      </x:c>
      <x:c r="B3" s="42" t="str">
        <x:v>配額</x:v>
      </x:c>
      <x:c r="C3" s="42" t="str">
        <x:v>實際筆數</x:v>
      </x:c>
      <x:c r="D3" s="42" t="str">
        <x:v>P0</x:v>
      </x:c>
      <x:c r="E3" s="42" t="str">
        <x:v>P1</x:v>
      </x:c>
      <x:c r="F3" s="42" t="str">
        <x:v>P2</x:v>
      </x:c>
      <x:c r="G3" s="42" t="str">
        <x:v>平均價值</x:v>
      </x:c>
      <x:c r="H3" s="42" t="str">
        <x:v>平均難度</x:v>
      </x:c>
    </x:row>
    <x:row r="4">
      <x:c r="A4" t="str">
        <x:v>AI Agent／Agentic AI</x:v>
      </x:c>
      <x:c r="B4" s="47" t="n">
        <x:v>45</x:v>
      </x:c>
      <x:c r="C4" s="47" t="n">
        <x:f>COUNTIF('Master List'!$C$5:$C$504,A4)</x:f>
        <x:v>45</x:v>
      </x:c>
      <x:c r="D4" s="47" t="n">
        <x:f>COUNTIFS('Master List'!$C$5:$C$504,A4,'Master List'!$S$5:$S$504,"P0")</x:f>
        <x:v>38</x:v>
      </x:c>
      <x:c r="E4" s="47" t="n">
        <x:f>COUNTIFS('Master List'!$C$5:$C$504,A4,'Master List'!$S$5:$S$504,"P1")</x:f>
        <x:v>7</x:v>
      </x:c>
      <x:c r="F4" s="47" t="n">
        <x:f>COUNTIFS('Master List'!$C$5:$C$504,A4,'Master List'!$S$5:$S$504,"P2")</x:f>
        <x:v>0</x:v>
      </x:c>
      <x:c r="G4" s="45" t="n">
        <x:f>AVERAGEIF('Master List'!$C$5:$C$504,A4,'Master List'!$Q$5:$Q$504)</x:f>
        <x:v>4.844444444444444</x:v>
      </x:c>
      <x:c r="H4" s="45" t="n">
        <x:f>AVERAGEIF('Master List'!$C$5:$C$504,A4,'Master List'!$R$5:$R$504)</x:f>
        <x:v>4</x:v>
      </x:c>
    </x:row>
    <x:row r="5">
      <x:c r="A5" t="str">
        <x:v>企業 AI／LLM</x:v>
      </x:c>
      <x:c r="B5" s="47" t="n">
        <x:v>35</x:v>
      </x:c>
      <x:c r="C5" s="47" t="n">
        <x:f>COUNTIF('Master List'!$C$5:$C$504,A5)</x:f>
        <x:v>35</x:v>
      </x:c>
      <x:c r="D5" s="47" t="n">
        <x:f>COUNTIFS('Master List'!$C$5:$C$504,A5,'Master List'!$S$5:$S$504,"P0")</x:f>
        <x:v>30</x:v>
      </x:c>
      <x:c r="E5" s="47" t="n">
        <x:f>COUNTIFS('Master List'!$C$5:$C$504,A5,'Master List'!$S$5:$S$504,"P1")</x:f>
        <x:v>5</x:v>
      </x:c>
      <x:c r="F5" s="47" t="n">
        <x:f>COUNTIFS('Master List'!$C$5:$C$504,A5,'Master List'!$S$5:$S$504,"P2")</x:f>
        <x:v>0</x:v>
      </x:c>
      <x:c r="G5" s="45" t="n">
        <x:f>AVERAGEIF('Master List'!$C$5:$C$504,A5,'Master List'!$Q$5:$Q$504)</x:f>
        <x:v>4.857142857142857</x:v>
      </x:c>
      <x:c r="H5" s="45" t="n">
        <x:f>AVERAGEIF('Master List'!$C$5:$C$504,A5,'Master List'!$R$5:$R$504)</x:f>
        <x:v>4</x:v>
      </x:c>
    </x:row>
    <x:row r="6">
      <x:c r="A6" t="str">
        <x:v>AI Security／Governance</x:v>
      </x:c>
      <x:c r="B6" s="47" t="n">
        <x:v>35</x:v>
      </x:c>
      <x:c r="C6" s="47" t="n">
        <x:f>COUNTIF('Master List'!$C$5:$C$504,A6)</x:f>
        <x:v>35</x:v>
      </x:c>
      <x:c r="D6" s="47" t="n">
        <x:f>COUNTIFS('Master List'!$C$5:$C$504,A6,'Master List'!$S$5:$S$504,"P0")</x:f>
        <x:v>30</x:v>
      </x:c>
      <x:c r="E6" s="47" t="n">
        <x:f>COUNTIFS('Master List'!$C$5:$C$504,A6,'Master List'!$S$5:$S$504,"P1")</x:f>
        <x:v>5</x:v>
      </x:c>
      <x:c r="F6" s="47" t="n">
        <x:f>COUNTIFS('Master List'!$C$5:$C$504,A6,'Master List'!$S$5:$S$504,"P2")</x:f>
        <x:v>0</x:v>
      </x:c>
      <x:c r="G6" s="45" t="n">
        <x:f>AVERAGEIF('Master List'!$C$5:$C$504,A6,'Master List'!$Q$5:$Q$504)</x:f>
        <x:v>4.857142857142857</x:v>
      </x:c>
      <x:c r="H6" s="45" t="n">
        <x:f>AVERAGEIF('Master List'!$C$5:$C$504,A6,'Master List'!$R$5:$R$504)</x:f>
        <x:v>4</x:v>
      </x:c>
    </x:row>
    <x:row r="7">
      <x:c r="A7" t="str">
        <x:v>法務／專利／合規</x:v>
      </x:c>
      <x:c r="B7" s="47" t="n">
        <x:v>35</x:v>
      </x:c>
      <x:c r="C7" s="47" t="n">
        <x:f>COUNTIF('Master List'!$C$5:$C$504,A7)</x:f>
        <x:v>35</x:v>
      </x:c>
      <x:c r="D7" s="47" t="n">
        <x:f>COUNTIFS('Master List'!$C$5:$C$504,A7,'Master List'!$S$5:$S$504,"P0")</x:f>
        <x:v>0</x:v>
      </x:c>
      <x:c r="E7" s="47" t="n">
        <x:f>COUNTIFS('Master List'!$C$5:$C$504,A7,'Master List'!$S$5:$S$504,"P1")</x:f>
        <x:v>35</x:v>
      </x:c>
      <x:c r="F7" s="47" t="n">
        <x:f>COUNTIFS('Master List'!$C$5:$C$504,A7,'Master List'!$S$5:$S$504,"P2")</x:f>
        <x:v>0</x:v>
      </x:c>
      <x:c r="G7" s="45" t="n">
        <x:f>AVERAGEIF('Master List'!$C$5:$C$504,A7,'Master List'!$Q$5:$Q$504)</x:f>
        <x:v>4.857142857142857</x:v>
      </x:c>
      <x:c r="H7" s="45" t="n">
        <x:f>AVERAGEIF('Master List'!$C$5:$C$504,A7,'Master List'!$R$5:$R$504)</x:f>
        <x:v>4</x:v>
      </x:c>
    </x:row>
    <x:row r="8">
      <x:c r="A8" t="str">
        <x:v>行政／總務</x:v>
      </x:c>
      <x:c r="B8" s="47" t="n">
        <x:v>30</x:v>
      </x:c>
      <x:c r="C8" s="47" t="n">
        <x:f>COUNTIF('Master List'!$C$5:$C$504,A8)</x:f>
        <x:v>30</x:v>
      </x:c>
      <x:c r="D8" s="47" t="n">
        <x:f>COUNTIFS('Master List'!$C$5:$C$504,A8,'Master List'!$S$5:$S$504,"P0")</x:f>
        <x:v>0</x:v>
      </x:c>
      <x:c r="E8" s="47" t="n">
        <x:f>COUNTIFS('Master List'!$C$5:$C$504,A8,'Master List'!$S$5:$S$504,"P1")</x:f>
        <x:v>0</x:v>
      </x:c>
      <x:c r="F8" s="47" t="n">
        <x:f>COUNTIFS('Master List'!$C$5:$C$504,A8,'Master List'!$S$5:$S$504,"P2")</x:f>
        <x:v>30</x:v>
      </x:c>
      <x:c r="G8" s="45" t="n">
        <x:f>AVERAGEIF('Master List'!$C$5:$C$504,A8,'Master List'!$Q$5:$Q$504)</x:f>
        <x:v>2.8666666666666667</x:v>
      </x:c>
      <x:c r="H8" s="45" t="n">
        <x:f>AVERAGEIF('Master List'!$C$5:$C$504,A8,'Master List'!$R$5:$R$504)</x:f>
        <x:v>2.2</x:v>
      </x:c>
    </x:row>
    <x:row r="9">
      <x:c r="A9" t="str">
        <x:v>行銷／MarTech</x:v>
      </x:c>
      <x:c r="B9" s="47" t="n">
        <x:v>35</x:v>
      </x:c>
      <x:c r="C9" s="47" t="n">
        <x:f>COUNTIF('Master List'!$C$5:$C$504,A9)</x:f>
        <x:v>35</x:v>
      </x:c>
      <x:c r="D9" s="47" t="n">
        <x:f>COUNTIFS('Master List'!$C$5:$C$504,A9,'Master List'!$S$5:$S$504,"P0")</x:f>
        <x:v>0</x:v>
      </x:c>
      <x:c r="E9" s="47" t="n">
        <x:f>COUNTIFS('Master List'!$C$5:$C$504,A9,'Master List'!$S$5:$S$504,"P1")</x:f>
        <x:v>30</x:v>
      </x:c>
      <x:c r="F9" s="47" t="n">
        <x:f>COUNTIFS('Master List'!$C$5:$C$504,A9,'Master List'!$S$5:$S$504,"P2")</x:f>
        <x:v>5</x:v>
      </x:c>
      <x:c r="G9" s="45" t="n">
        <x:f>AVERAGEIF('Master List'!$C$5:$C$504,A9,'Master List'!$Q$5:$Q$504)</x:f>
        <x:v>3.857142857142857</x:v>
      </x:c>
      <x:c r="H9" s="45" t="n">
        <x:f>AVERAGEIF('Master List'!$C$5:$C$504,A9,'Master List'!$R$5:$R$504)</x:f>
        <x:v>3</x:v>
      </x:c>
    </x:row>
    <x:row r="10">
      <x:c r="A10" t="str">
        <x:v>客戶成功／CX</x:v>
      </x:c>
      <x:c r="B10" s="47" t="n">
        <x:v>25</x:v>
      </x:c>
      <x:c r="C10" s="47" t="n">
        <x:f>COUNTIF('Master List'!$C$5:$C$504,A10)</x:f>
        <x:v>25</x:v>
      </x:c>
      <x:c r="D10" s="47" t="n">
        <x:f>COUNTIFS('Master List'!$C$5:$C$504,A10,'Master List'!$S$5:$S$504,"P0")</x:f>
        <x:v>0</x:v>
      </x:c>
      <x:c r="E10" s="47" t="n">
        <x:f>COUNTIFS('Master List'!$C$5:$C$504,A10,'Master List'!$S$5:$S$504,"P1")</x:f>
        <x:v>22</x:v>
      </x:c>
      <x:c r="F10" s="47" t="n">
        <x:f>COUNTIFS('Master List'!$C$5:$C$504,A10,'Master List'!$S$5:$S$504,"P2")</x:f>
        <x:v>3</x:v>
      </x:c>
      <x:c r="G10" s="45" t="n">
        <x:f>AVERAGEIF('Master List'!$C$5:$C$504,A10,'Master List'!$Q$5:$Q$504)</x:f>
        <x:v>3.88</x:v>
      </x:c>
      <x:c r="H10" s="45" t="n">
        <x:f>AVERAGEIF('Master List'!$C$5:$C$504,A10,'Master List'!$R$5:$R$504)</x:f>
        <x:v>3</x:v>
      </x:c>
    </x:row>
    <x:row r="11">
      <x:c r="A11" t="str">
        <x:v>軟體研發／DevOps</x:v>
      </x:c>
      <x:c r="B11" s="47" t="n">
        <x:v>40</x:v>
      </x:c>
      <x:c r="C11" s="47" t="n">
        <x:f>COUNTIF('Master List'!$C$5:$C$504,A11)</x:f>
        <x:v>40</x:v>
      </x:c>
      <x:c r="D11" s="47" t="n">
        <x:f>COUNTIFS('Master List'!$C$5:$C$504,A11,'Master List'!$S$5:$S$504,"P0")</x:f>
        <x:v>0</x:v>
      </x:c>
      <x:c r="E11" s="47" t="n">
        <x:f>COUNTIFS('Master List'!$C$5:$C$504,A11,'Master List'!$S$5:$S$504,"P1")</x:f>
        <x:v>40</x:v>
      </x:c>
      <x:c r="F11" s="47" t="n">
        <x:f>COUNTIFS('Master List'!$C$5:$C$504,A11,'Master List'!$S$5:$S$504,"P2")</x:f>
        <x:v>0</x:v>
      </x:c>
      <x:c r="G11" s="45" t="n">
        <x:f>AVERAGEIF('Master List'!$C$5:$C$504,A11,'Master List'!$Q$5:$Q$504)</x:f>
        <x:v>4.85</x:v>
      </x:c>
      <x:c r="H11" s="45" t="n">
        <x:f>AVERAGEIF('Master List'!$C$5:$C$504,A11,'Master List'!$R$5:$R$504)</x:f>
        <x:v>4</x:v>
      </x:c>
    </x:row>
    <x:row r="12">
      <x:c r="A12" t="str">
        <x:v>Data／DataOps</x:v>
      </x:c>
      <x:c r="B12" s="47" t="n">
        <x:v>35</x:v>
      </x:c>
      <x:c r="C12" s="47" t="n">
        <x:f>COUNTIF('Master List'!$C$5:$C$504,A12)</x:f>
        <x:v>35</x:v>
      </x:c>
      <x:c r="D12" s="47" t="n">
        <x:f>COUNTIFS('Master List'!$C$5:$C$504,A12,'Master List'!$S$5:$S$504,"P0")</x:f>
        <x:v>0</x:v>
      </x:c>
      <x:c r="E12" s="47" t="n">
        <x:f>COUNTIFS('Master List'!$C$5:$C$504,A12,'Master List'!$S$5:$S$504,"P1")</x:f>
        <x:v>35</x:v>
      </x:c>
      <x:c r="F12" s="47" t="n">
        <x:f>COUNTIFS('Master List'!$C$5:$C$504,A12,'Master List'!$S$5:$S$504,"P2")</x:f>
        <x:v>0</x:v>
      </x:c>
      <x:c r="G12" s="45" t="n">
        <x:f>AVERAGEIF('Master List'!$C$5:$C$504,A12,'Master List'!$Q$5:$Q$504)</x:f>
        <x:v>4.857142857142857</x:v>
      </x:c>
      <x:c r="H12" s="45" t="n">
        <x:f>AVERAGEIF('Master List'!$C$5:$C$504,A12,'Master List'!$R$5:$R$504)</x:f>
        <x:v>4</x:v>
      </x:c>
    </x:row>
    <x:row r="13">
      <x:c r="A13" t="str">
        <x:v>Industrial AI 新應用</x:v>
      </x:c>
      <x:c r="B13" s="47" t="n">
        <x:v>30</x:v>
      </x:c>
      <x:c r="C13" s="47" t="n">
        <x:f>COUNTIF('Master List'!$C$5:$C$504,A13)</x:f>
        <x:v>30</x:v>
      </x:c>
      <x:c r="D13" s="47" t="n">
        <x:f>COUNTIFS('Master List'!$C$5:$C$504,A13,'Master List'!$S$5:$S$504,"P0")</x:f>
        <x:v>0</x:v>
      </x:c>
      <x:c r="E13" s="47" t="n">
        <x:f>COUNTIFS('Master List'!$C$5:$C$504,A13,'Master List'!$S$5:$S$504,"P1")</x:f>
        <x:v>30</x:v>
      </x:c>
      <x:c r="F13" s="47" t="n">
        <x:f>COUNTIFS('Master List'!$C$5:$C$504,A13,'Master List'!$S$5:$S$504,"P2")</x:f>
        <x:v>0</x:v>
      </x:c>
      <x:c r="G13" s="45" t="n">
        <x:f>AVERAGEIF('Master List'!$C$5:$C$504,A13,'Master List'!$Q$5:$Q$504)</x:f>
        <x:v>4.866666666666666</x:v>
      </x:c>
      <x:c r="H13" s="45" t="n">
        <x:f>AVERAGEIF('Master List'!$C$5:$C$504,A13,'Master List'!$R$5:$R$504)</x:f>
        <x:v>4.8</x:v>
      </x:c>
    </x:row>
    <x:row r="14">
      <x:c r="A14" t="str">
        <x:v>國際貿易</x:v>
      </x:c>
      <x:c r="B14" s="47" t="n">
        <x:v>25</x:v>
      </x:c>
      <x:c r="C14" s="47" t="n">
        <x:f>COUNTIF('Master List'!$C$5:$C$504,A14)</x:f>
        <x:v>25</x:v>
      </x:c>
      <x:c r="D14" s="47" t="n">
        <x:f>COUNTIFS('Master List'!$C$5:$C$504,A14,'Master List'!$S$5:$S$504,"P0")</x:f>
        <x:v>0</x:v>
      </x:c>
      <x:c r="E14" s="47" t="n">
        <x:f>COUNTIFS('Master List'!$C$5:$C$504,A14,'Master List'!$S$5:$S$504,"P1")</x:f>
        <x:v>22</x:v>
      </x:c>
      <x:c r="F14" s="47" t="n">
        <x:f>COUNTIFS('Master List'!$C$5:$C$504,A14,'Master List'!$S$5:$S$504,"P2")</x:f>
        <x:v>3</x:v>
      </x:c>
      <x:c r="G14" s="45" t="n">
        <x:f>AVERAGEIF('Master List'!$C$5:$C$504,A14,'Master List'!$Q$5:$Q$504)</x:f>
        <x:v>3.88</x:v>
      </x:c>
      <x:c r="H14" s="45" t="n">
        <x:f>AVERAGEIF('Master List'!$C$5:$C$504,A14,'Master List'!$R$5:$R$504)</x:f>
        <x:v>4</x:v>
      </x:c>
    </x:row>
    <x:row r="15">
      <x:c r="A15" t="str">
        <x:v>實驗室／Lab</x:v>
      </x:c>
      <x:c r="B15" s="47" t="n">
        <x:v>20</x:v>
      </x:c>
      <x:c r="C15" s="47" t="n">
        <x:f>COUNTIF('Master List'!$C$5:$C$504,A15)</x:f>
        <x:v>20</x:v>
      </x:c>
      <x:c r="D15" s="47" t="n">
        <x:f>COUNTIFS('Master List'!$C$5:$C$504,A15,'Master List'!$S$5:$S$504,"P0")</x:f>
        <x:v>0</x:v>
      </x:c>
      <x:c r="E15" s="47" t="n">
        <x:f>COUNTIFS('Master List'!$C$5:$C$504,A15,'Master List'!$S$5:$S$504,"P1")</x:f>
        <x:v>0</x:v>
      </x:c>
      <x:c r="F15" s="47" t="n">
        <x:f>COUNTIFS('Master List'!$C$5:$C$504,A15,'Master List'!$S$5:$S$504,"P2")</x:f>
        <x:v>20</x:v>
      </x:c>
      <x:c r="G15" s="45" t="n">
        <x:f>AVERAGEIF('Master List'!$C$5:$C$504,A15,'Master List'!$Q$5:$Q$504)</x:f>
        <x:v>3.9</x:v>
      </x:c>
      <x:c r="H15" s="45" t="n">
        <x:f>AVERAGEIF('Master List'!$C$5:$C$504,A15,'Master List'!$R$5:$R$504)</x:f>
        <x:v>4</x:v>
      </x:c>
    </x:row>
    <x:row r="16">
      <x:c r="A16" t="str">
        <x:v>政府標案／補助</x:v>
      </x:c>
      <x:c r="B16" s="47" t="n">
        <x:v>20</x:v>
      </x:c>
      <x:c r="C16" s="47" t="n">
        <x:f>COUNTIF('Master List'!$C$5:$C$504,A16)</x:f>
        <x:v>20</x:v>
      </x:c>
      <x:c r="D16" s="47" t="n">
        <x:f>COUNTIFS('Master List'!$C$5:$C$504,A16,'Master List'!$S$5:$S$504,"P0")</x:f>
        <x:v>0</x:v>
      </x:c>
      <x:c r="E16" s="47" t="n">
        <x:f>COUNTIFS('Master List'!$C$5:$C$504,A16,'Master List'!$S$5:$S$504,"P1")</x:f>
        <x:v>18</x:v>
      </x:c>
      <x:c r="F16" s="47" t="n">
        <x:f>COUNTIFS('Master List'!$C$5:$C$504,A16,'Master List'!$S$5:$S$504,"P2")</x:f>
        <x:v>2</x:v>
      </x:c>
      <x:c r="G16" s="45" t="n">
        <x:f>AVERAGEIF('Master List'!$C$5:$C$504,A16,'Master List'!$Q$5:$Q$504)</x:f>
        <x:v>3.9</x:v>
      </x:c>
      <x:c r="H16" s="45" t="n">
        <x:f>AVERAGEIF('Master List'!$C$5:$C$504,A16,'Master List'!$R$5:$R$504)</x:f>
        <x:v>3</x:v>
      </x:c>
    </x:row>
    <x:row r="17">
      <x:c r="A17" t="str">
        <x:v>Treasury／FinTech</x:v>
      </x:c>
      <x:c r="B17" s="47" t="n">
        <x:v>20</x:v>
      </x:c>
      <x:c r="C17" s="47" t="n">
        <x:f>COUNTIF('Master List'!$C$5:$C$504,A17)</x:f>
        <x:v>20</x:v>
      </x:c>
      <x:c r="D17" s="47" t="n">
        <x:f>COUNTIFS('Master List'!$C$5:$C$504,A17,'Master List'!$S$5:$S$504,"P0")</x:f>
        <x:v>0</x:v>
      </x:c>
      <x:c r="E17" s="47" t="n">
        <x:f>COUNTIFS('Master List'!$C$5:$C$504,A17,'Master List'!$S$5:$S$504,"P1")</x:f>
        <x:v>20</x:v>
      </x:c>
      <x:c r="F17" s="47" t="n">
        <x:f>COUNTIFS('Master List'!$C$5:$C$504,A17,'Master List'!$S$5:$S$504,"P2")</x:f>
        <x:v>0</x:v>
      </x:c>
      <x:c r="G17" s="45" t="n">
        <x:f>AVERAGEIF('Master List'!$C$5:$C$504,A17,'Master List'!$Q$5:$Q$504)</x:f>
        <x:v>4.9</x:v>
      </x:c>
      <x:c r="H17" s="45" t="n">
        <x:f>AVERAGEIF('Master List'!$C$5:$C$504,A17,'Master List'!$R$5:$R$504)</x:f>
        <x:v>4</x:v>
      </x:c>
    </x:row>
    <x:row r="18">
      <x:c r="A18" t="str">
        <x:v>企業學習／人才</x:v>
      </x:c>
      <x:c r="B18" s="47" t="n">
        <x:v>15</x:v>
      </x:c>
      <x:c r="C18" s="47" t="n">
        <x:f>COUNTIF('Master List'!$C$5:$C$504,A18)</x:f>
        <x:v>15</x:v>
      </x:c>
      <x:c r="D18" s="47" t="n">
        <x:f>COUNTIFS('Master List'!$C$5:$C$504,A18,'Master List'!$S$5:$S$504,"P0")</x:f>
        <x:v>0</x:v>
      </x:c>
      <x:c r="E18" s="47" t="n">
        <x:f>COUNTIFS('Master List'!$C$5:$C$504,A18,'Master List'!$S$5:$S$504,"P1")</x:f>
        <x:v>0</x:v>
      </x:c>
      <x:c r="F18" s="47" t="n">
        <x:f>COUNTIFS('Master List'!$C$5:$C$504,A18,'Master List'!$S$5:$S$504,"P2")</x:f>
        <x:v>15</x:v>
      </x:c>
      <x:c r="G18" s="45" t="n">
        <x:f>AVERAGEIF('Master List'!$C$5:$C$504,A18,'Master List'!$Q$5:$Q$504)</x:f>
        <x:v>3.8666666666666667</x:v>
      </x:c>
      <x:c r="H18" s="45" t="n">
        <x:f>AVERAGEIF('Master List'!$C$5:$C$504,A18,'Master List'!$R$5:$R$504)</x:f>
        <x:v>3</x:v>
      </x:c>
    </x:row>
    <x:row r="19">
      <x:c r="A19" t="str">
        <x:v>Enterprise Search／KM</x:v>
      </x:c>
      <x:c r="B19" s="47" t="n">
        <x:v>20</x:v>
      </x:c>
      <x:c r="C19" s="47" t="n">
        <x:f>COUNTIF('Master List'!$C$5:$C$504,A19)</x:f>
        <x:v>20</x:v>
      </x:c>
      <x:c r="D19" s="47" t="n">
        <x:f>COUNTIFS('Master List'!$C$5:$C$504,A19,'Master List'!$S$5:$S$504,"P0")</x:f>
        <x:v>16</x:v>
      </x:c>
      <x:c r="E19" s="47" t="n">
        <x:f>COUNTIFS('Master List'!$C$5:$C$504,A19,'Master List'!$S$5:$S$504,"P1")</x:f>
        <x:v>4</x:v>
      </x:c>
      <x:c r="F19" s="47" t="n">
        <x:f>COUNTIFS('Master List'!$C$5:$C$504,A19,'Master List'!$S$5:$S$504,"P2")</x:f>
        <x:v>0</x:v>
      </x:c>
      <x:c r="G19" s="45" t="n">
        <x:f>AVERAGEIF('Master List'!$C$5:$C$504,A19,'Master List'!$Q$5:$Q$504)</x:f>
        <x:v>4.9</x:v>
      </x:c>
      <x:c r="H19" s="45" t="n">
        <x:f>AVERAGEIF('Master List'!$C$5:$C$504,A19,'Master List'!$R$5:$R$504)</x:f>
        <x:v>3</x:v>
      </x:c>
    </x:row>
    <x:row r="20">
      <x:c r="A20" t="str">
        <x:v>IoT／Edge AI</x:v>
      </x:c>
      <x:c r="B20" s="47" t="n">
        <x:v>15</x:v>
      </x:c>
      <x:c r="C20" s="47" t="n">
        <x:f>COUNTIF('Master List'!$C$5:$C$504,A20)</x:f>
        <x:v>15</x:v>
      </x:c>
      <x:c r="D20" s="47" t="n">
        <x:f>COUNTIFS('Master List'!$C$5:$C$504,A20,'Master List'!$S$5:$S$504,"P0")</x:f>
        <x:v>0</x:v>
      </x:c>
      <x:c r="E20" s="47" t="n">
        <x:f>COUNTIFS('Master List'!$C$5:$C$504,A20,'Master List'!$S$5:$S$504,"P1")</x:f>
        <x:v>0</x:v>
      </x:c>
      <x:c r="F20" s="47" t="n">
        <x:f>COUNTIFS('Master List'!$C$5:$C$504,A20,'Master List'!$S$5:$S$504,"P2")</x:f>
        <x:v>15</x:v>
      </x:c>
      <x:c r="G20" s="45" t="n">
        <x:f>AVERAGEIF('Master List'!$C$5:$C$504,A20,'Master List'!$Q$5:$Q$504)</x:f>
        <x:v>3.8666666666666667</x:v>
      </x:c>
      <x:c r="H20" s="45" t="n">
        <x:f>AVERAGEIF('Master List'!$C$5:$C$504,A20,'Master List'!$R$5:$R$504)</x:f>
        <x:v>4.8</x:v>
      </x:c>
    </x:row>
    <x:row r="21">
      <x:c r="A21" t="str">
        <x:v>MCP／Skills／API</x:v>
      </x:c>
      <x:c r="B21" s="47" t="n">
        <x:v>20</x:v>
      </x:c>
      <x:c r="C21" s="47" t="n">
        <x:f>COUNTIF('Master List'!$C$5:$C$504,A21)</x:f>
        <x:v>20</x:v>
      </x:c>
      <x:c r="D21" s="47" t="n">
        <x:f>COUNTIFS('Master List'!$C$5:$C$504,A21,'Master List'!$S$5:$S$504,"P0")</x:f>
        <x:v>16</x:v>
      </x:c>
      <x:c r="E21" s="47" t="n">
        <x:f>COUNTIFS('Master List'!$C$5:$C$504,A21,'Master List'!$S$5:$S$504,"P1")</x:f>
        <x:v>4</x:v>
      </x:c>
      <x:c r="F21" s="47" t="n">
        <x:f>COUNTIFS('Master List'!$C$5:$C$504,A21,'Master List'!$S$5:$S$504,"P2")</x:f>
        <x:v>0</x:v>
      </x:c>
      <x:c r="G21" s="45" t="n">
        <x:f>AVERAGEIF('Master List'!$C$5:$C$504,A21,'Master List'!$Q$5:$Q$504)</x:f>
        <x:v>4.9</x:v>
      </x:c>
      <x:c r="H21" s="45" t="n">
        <x:f>AVERAGEIF('Master List'!$C$5:$C$504,A21,'Master List'!$R$5:$R$504)</x:f>
        <x:v>4</x:v>
      </x:c>
    </x:row>
    <x:row r="22">
      <x:c r="A22" s="44" t="str">
        <x:v>合計</x:v>
      </x:c>
      <x:c r="B22" s="48" t="n">
        <x:v>500</x:v>
      </x:c>
      <x:c r="C22" s="48" t="n">
        <x:f>SUM(C4:C21)</x:f>
        <x:v>500</x:v>
      </x:c>
      <x:c r="D22" s="48" t="n">
        <x:f>SUM(D4:D21)</x:f>
        <x:v>130</x:v>
      </x:c>
      <x:c r="E22" s="48" t="n">
        <x:f>SUM(E4:E21)</x:f>
        <x:v>277</x:v>
      </x:c>
      <x:c r="F22" s="48" t="n">
        <x:f>SUM(F4:F21)</x:f>
        <x:v>93</x:v>
      </x:c>
      <x:c r="G22" s="46" t="n">
        <x:f>AVERAGE('Master List'!Q5:Q504)</x:f>
        <x:v>4.438</x:v>
      </x:c>
      <x:c r="H22" s="46" t="n">
        <x:f>AVERAGE('Master List'!R5:R504)</x:f>
        <x:v>3.734</x:v>
      </x:c>
    </x:row>
  </x:sheetData>
  <x:mergeCells>
    <x:mergeCell ref="A1:H1"/>
  </x:mergeCells>
  <x:pageMargins left="0.7" right="0.7" top="0.75" bottom="0.75" header="0.3" footer="0.3"/>
</x:worksheet>
</file>